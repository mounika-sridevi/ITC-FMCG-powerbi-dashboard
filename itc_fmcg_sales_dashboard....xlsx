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C:\Users\mouni\Desktop\"/>
    </mc:Choice>
  </mc:AlternateContent>
  <xr:revisionPtr revIDLastSave="0" documentId="13_ncr:1_{0C2DDAF3-E830-4CFF-B5EA-D0E7BD6DD64C}" xr6:coauthVersionLast="47" xr6:coauthVersionMax="47" xr10:uidLastSave="{00000000-0000-0000-0000-000000000000}"/>
  <bookViews>
    <workbookView xWindow="-108" yWindow="-108" windowWidth="23256" windowHeight="12456" activeTab="2" xr2:uid="{00000000-000D-0000-FFFF-FFFF00000000}"/>
  </bookViews>
  <sheets>
    <sheet name="Data" sheetId="3" r:id="rId1"/>
    <sheet name="Pivot tables" sheetId="4" r:id="rId2"/>
    <sheet name="Dashboard" sheetId="5" r:id="rId3"/>
  </sheets>
  <definedNames>
    <definedName name="Slicer_Category">#N/A</definedName>
    <definedName name="Slicer_Product">#N/A</definedName>
    <definedName name="Slicer_Region">#N/A</definedName>
    <definedName name="Slicer_SalesChannel">#N/A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4" l="1"/>
  <c r="D31" i="4"/>
  <c r="E31" i="4"/>
  <c r="G31" i="4"/>
  <c r="H31" i="4"/>
  <c r="E4" i="4"/>
  <c r="F31" i="4" l="1" a="1"/>
  <c r="F31"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<sst xmlns="http://schemas.openxmlformats.org/spreadsheetml/2006/main" count="6105" uniqueCount="80">
  <si>
    <t>Date</t>
  </si>
  <si>
    <t>Region</t>
  </si>
  <si>
    <t>State</t>
  </si>
  <si>
    <t>Category</t>
  </si>
  <si>
    <t>Product</t>
  </si>
  <si>
    <t>Distributor</t>
  </si>
  <si>
    <t>SalesChannel</t>
  </si>
  <si>
    <t>Quantity</t>
  </si>
  <si>
    <t>UnitPrice</t>
  </si>
  <si>
    <t>Revenue</t>
  </si>
  <si>
    <t>Cost</t>
  </si>
  <si>
    <t>Profit</t>
  </si>
  <si>
    <t>Month</t>
  </si>
  <si>
    <t>North</t>
  </si>
  <si>
    <t>East</t>
  </si>
  <si>
    <t>South</t>
  </si>
  <si>
    <t>West</t>
  </si>
  <si>
    <t>Delhi</t>
  </si>
  <si>
    <t>Assam</t>
  </si>
  <si>
    <t>West Bengal</t>
  </si>
  <si>
    <t>Karnataka</t>
  </si>
  <si>
    <t>Tamil Nadu</t>
  </si>
  <si>
    <t>Goa</t>
  </si>
  <si>
    <t>Bihar</t>
  </si>
  <si>
    <t>Maharashtra</t>
  </si>
  <si>
    <t>Rajasthan</t>
  </si>
  <si>
    <t>Haryana</t>
  </si>
  <si>
    <t>Uttar Pradesh</t>
  </si>
  <si>
    <t>Gujarat</t>
  </si>
  <si>
    <t>Telangana</t>
  </si>
  <si>
    <t>Punjab</t>
  </si>
  <si>
    <t>Kerala</t>
  </si>
  <si>
    <t>Odisha</t>
  </si>
  <si>
    <t>Andhra Pradesh</t>
  </si>
  <si>
    <t>Personal Care</t>
  </si>
  <si>
    <t>Foods</t>
  </si>
  <si>
    <t>Savlon Handwash</t>
  </si>
  <si>
    <t>Charmis Lotion</t>
  </si>
  <si>
    <t>Vivel Body Wash</t>
  </si>
  <si>
    <t>Bingo Chips</t>
  </si>
  <si>
    <t>B Natural Juice</t>
  </si>
  <si>
    <t>Yippee Noodles</t>
  </si>
  <si>
    <t>Fabelle Chocolate</t>
  </si>
  <si>
    <t>Fiama Soap</t>
  </si>
  <si>
    <t>Aashirvaad Atta</t>
  </si>
  <si>
    <t>Dermafique Cream</t>
  </si>
  <si>
    <t>Dark Fantasy Cookies</t>
  </si>
  <si>
    <t>Sunfeast Biscuits</t>
  </si>
  <si>
    <t>ITC West Depot</t>
  </si>
  <si>
    <t>ITC South Depot</t>
  </si>
  <si>
    <t>ITC North Depot</t>
  </si>
  <si>
    <t>ITC Central Warehouse</t>
  </si>
  <si>
    <t>ITC East Depot</t>
  </si>
  <si>
    <t>Online</t>
  </si>
  <si>
    <t>Retail</t>
  </si>
  <si>
    <t>Wholesale</t>
  </si>
  <si>
    <t>Sum of Revenue</t>
  </si>
  <si>
    <t>Sum of Profit</t>
  </si>
  <si>
    <t>Sum of Quantity</t>
  </si>
  <si>
    <t>Grand Total</t>
  </si>
  <si>
    <t>Jan</t>
  </si>
  <si>
    <t>Feb</t>
  </si>
  <si>
    <t>Mar</t>
  </si>
  <si>
    <t>Apr</t>
  </si>
  <si>
    <t>May</t>
  </si>
  <si>
    <t>Jun</t>
  </si>
  <si>
    <t>Jul</t>
  </si>
  <si>
    <t>Aug</t>
  </si>
  <si>
    <t>Sep</t>
  </si>
  <si>
    <t>Oct</t>
  </si>
  <si>
    <t>Nov</t>
  </si>
  <si>
    <t>Dec</t>
  </si>
  <si>
    <t>Average Selling Price</t>
  </si>
  <si>
    <t>Profit Margin</t>
  </si>
  <si>
    <t>Sales channel</t>
  </si>
  <si>
    <t>Total Revenue</t>
  </si>
  <si>
    <t>Total Profit</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</si>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</sst>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0" fillId="0" borderId="0" xfId="0" pivotButton="1"/>
    <xf numFmtId="14" fontId="0" fillId="0" borderId="0" xfId="0" applyNumberFormat="1"/>
    <xf numFmtId="164" fontId="0" fillId="0" borderId="0" xfId="0" applyNumberFormat="1"/>
    <xf numFmtId="0" fontId="0" fillId="0" borderId="0" xfId="0" applyAlignment="1">
      <alignment horizontal="left"/>
    </xf>
    <xf numFmtId="0" fontId="1" fillId="2" borderId="0" xfId="0" applyFont="1" applyFill="1"/>
    <xf numFmtId="0" fontId="1" fillId="3" borderId="1" xfId="0" applyFont="1" applyFill="1" applyBorder="1"/>
    <xf numFmtId="1" fontId="0" fillId="0" borderId="0" xfId="0" applyNumberFormat="1"/>
    <xf numFmtId="0" fontId="0" fillId="0" borderId="0" xfId="0" applyNumberFormat="1"/>
  </cellXfs>
  <cellStyles count="1">
    <cellStyle name="Normal" xfId="0" builtinId="0"/>
  </cellStyles>
  <dxfs count="43">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fill>
        <patternFill patternType="solid">
          <fgColor indexed="64"/>
          <bgColor theme="4" tint="0.79998168889431442"/>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m/d/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[itc_fmcg_sales_dashboard....xlsx]Pivot tables!PivotTable2</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tables'!$E$33</c:f>
              <c:strCache>
                <c:ptCount val="1"/>
                <c:pt idx="0">
                  <c:v>Total</c:v>
                </c:pt>
              </c:strCache>
            </c:strRef>
          </c:tx>
          <c:spPr>
            <a:solidFill>
              <a:schemeClr val="accent1"/>
            </a:solidFill>
            <a:ln>
              <a:noFill/>
            </a:ln>
            <a:effectLst/>
          </c:spPr>
          <c:invertIfNegative val="0"/>
          <c:cat>
            <c:strRef>
              <c:f>'Pivot tables'!$D$34:$D$39</c:f>
              <c:strCache>
                <c:ptCount val="5"/>
                <c:pt idx="0">
                  <c:v>ITC Central Warehouse</c:v>
                </c:pt>
                <c:pt idx="1">
                  <c:v>ITC East Depot</c:v>
                </c:pt>
                <c:pt idx="2">
                  <c:v>ITC North Depot</c:v>
                </c:pt>
                <c:pt idx="3">
                  <c:v>ITC South Depot</c:v>
                </c:pt>
                <c:pt idx="4">
                  <c:v>ITC West Depot</c:v>
                </c:pt>
              </c:strCache>
            </c:strRef>
          </c:cat>
          <c:val>
            <c:numRef>
              <c:f>'Pivot tables'!$E$34:$E$39</c:f>
              <c:numCache>
                <c:formatCode>0</c:formatCode>
                <c:ptCount val="5"/>
                <c:pt idx="0">
                  <c:v>7509419.1700000009</c:v>
                </c:pt>
                <c:pt idx="1">
                  <c:v>8315153.7899999972</c:v>
                </c:pt>
                <c:pt idx="2">
                  <c:v>6438918.0799999991</c:v>
                </c:pt>
                <c:pt idx="3">
                  <c:v>8180939.5600000005</c:v>
                </c:pt>
                <c:pt idx="4">
                  <c:v>8070309.2999999998</c:v>
                </c:pt>
              </c:numCache>
            </c:numRef>
          </c:val>
          <c:extLst>
            <c:ext xmlns:c16="http://schemas.microsoft.com/office/drawing/2014/chart" uri="{C3380CC4-5D6E-409C-BE32-E72D297353CC}">
              <c16:uniqueId val="{00000000-4608-4176-AD92-86531E3C4C69}"/>
            </c:ext>
          </c:extLst>
        </c:ser>
        <c:dLbls>
          <c:showLegendKey val="0"/>
          <c:showVal val="0"/>
          <c:showCatName val="0"/>
          <c:showSerName val="0"/>
          <c:showPercent val="0"/>
          <c:showBubbleSize val="0"/>
        </c:dLbls>
        <c:gapWidth val="219"/>
        <c:overlap val="-27"/>
        <c:axId val="443158768"/>
        <c:axId val="443155888"/>
      </c:barChart>
      <c:catAx>
        <c:axId val="44315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55888"/>
        <c:crosses val="autoZero"/>
        <c:auto val="1"/>
        <c:lblAlgn val="ctr"/>
        <c:lblOffset val="100"/>
        <c:noMultiLvlLbl val="0"/>
      </c:catAx>
      <c:valAx>
        <c:axId val="443155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5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[itc_fmcg_sales_dashboard....xlsx]Pivot tables!PivotTable15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Trend Over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tables'!$H$7</c:f>
              <c:strCache>
                <c:ptCount val="1"/>
                <c:pt idx="0">
                  <c:v>Total</c:v>
                </c:pt>
              </c:strCache>
            </c:strRef>
          </c:tx>
          <c:spPr>
            <a:ln w="28575" cap="rnd">
              <a:solidFill>
                <a:schemeClr val="accent1"/>
              </a:solidFill>
              <a:round/>
            </a:ln>
            <a:effectLst/>
          </c:spPr>
          <c:marker>
            <c:symbol val="none"/>
          </c:marker>
          <c:cat>
            <c:strRef>
              <c:f>'Pivot tables'!$G$8:$G$11</c:f>
              <c:strCache>
                <c:ptCount val="3"/>
                <c:pt idx="0">
                  <c:v>2023</c:v>
                </c:pt>
                <c:pt idx="1">
                  <c:v>2024</c:v>
                </c:pt>
                <c:pt idx="2">
                  <c:v>2025</c:v>
                </c:pt>
              </c:strCache>
            </c:strRef>
          </c:cat>
          <c:val>
            <c:numRef>
              <c:f>'Pivot tables'!$H$8:$H$11</c:f>
              <c:numCache>
                <c:formatCode>0</c:formatCode>
                <c:ptCount val="3"/>
                <c:pt idx="0">
                  <c:v>13600009.610000001</c:v>
                </c:pt>
                <c:pt idx="1">
                  <c:v>15036339.010000002</c:v>
                </c:pt>
                <c:pt idx="2">
                  <c:v>9878391.2799999975</c:v>
                </c:pt>
              </c:numCache>
            </c:numRef>
          </c:val>
          <c:smooth val="0"/>
          <c:extLst>
            <c:ext xmlns:c16="http://schemas.microsoft.com/office/drawing/2014/chart" uri="{C3380CC4-5D6E-409C-BE32-E72D297353CC}">
              <c16:uniqueId val="{00000000-F265-4AF4-BD7B-AFD3B984847E}"/>
            </c:ext>
          </c:extLst>
        </c:ser>
        <c:dLbls>
          <c:showLegendKey val="0"/>
          <c:showVal val="0"/>
          <c:showCatName val="0"/>
          <c:showSerName val="0"/>
          <c:showPercent val="0"/>
          <c:showBubbleSize val="0"/>
        </c:dLbls>
        <c:smooth val="0"/>
        <c:axId val="770046479"/>
        <c:axId val="770042159"/>
      </c:lineChart>
      <c:catAx>
        <c:axId val="7700464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42159"/>
        <c:crosses val="autoZero"/>
        <c:auto val="1"/>
        <c:lblAlgn val="ctr"/>
        <c:lblOffset val="100"/>
        <c:noMultiLvlLbl val="0"/>
      </c:catAx>
      <c:valAx>
        <c:axId val="770042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4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[itc_fmcg_sales_dashboard....xlsx]Pivot tables!PivotTable16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tables'!$E$7</c:f>
              <c:strCache>
                <c:ptCount val="1"/>
                <c:pt idx="0">
                  <c:v>Total</c:v>
                </c:pt>
              </c:strCache>
            </c:strRef>
          </c:tx>
          <c:spPr>
            <a:solidFill>
              <a:schemeClr val="accent1"/>
            </a:solidFill>
            <a:ln>
              <a:noFill/>
            </a:ln>
            <a:effectLst/>
          </c:spPr>
          <c:invertIfNegative val="0"/>
          <c:cat>
            <c:strRef>
              <c:f>'Pivot tables'!$D$8:$D$12</c:f>
              <c:strCache>
                <c:ptCount val="4"/>
                <c:pt idx="0">
                  <c:v>East</c:v>
                </c:pt>
                <c:pt idx="1">
                  <c:v>North</c:v>
                </c:pt>
                <c:pt idx="2">
                  <c:v>South</c:v>
                </c:pt>
                <c:pt idx="3">
                  <c:v>West</c:v>
                </c:pt>
              </c:strCache>
            </c:strRef>
          </c:cat>
          <c:val>
            <c:numRef>
              <c:f>'Pivot tables'!$E$8:$E$12</c:f>
              <c:numCache>
                <c:formatCode>General</c:formatCode>
                <c:ptCount val="4"/>
                <c:pt idx="0">
                  <c:v>9331535.7299999967</c:v>
                </c:pt>
                <c:pt idx="1">
                  <c:v>8623007.410000002</c:v>
                </c:pt>
                <c:pt idx="2">
                  <c:v>9530184.549999997</c:v>
                </c:pt>
                <c:pt idx="3">
                  <c:v>11030012.209999997</c:v>
                </c:pt>
              </c:numCache>
            </c:numRef>
          </c:val>
          <c:extLst>
            <c:ext xmlns:c16="http://schemas.microsoft.com/office/drawing/2014/chart" uri="{C3380CC4-5D6E-409C-BE32-E72D297353CC}">
              <c16:uniqueId val="{00000000-7EDE-472E-AE8C-4F2F50741C3C}"/>
            </c:ext>
          </c:extLst>
        </c:ser>
        <c:dLbls>
          <c:showLegendKey val="0"/>
          <c:showVal val="0"/>
          <c:showCatName val="0"/>
          <c:showSerName val="0"/>
          <c:showPercent val="0"/>
          <c:showBubbleSize val="0"/>
        </c:dLbls>
        <c:gapWidth val="219"/>
        <c:overlap val="-27"/>
        <c:axId val="1115012767"/>
        <c:axId val="1115029567"/>
      </c:barChart>
      <c:catAx>
        <c:axId val="1115012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029567"/>
        <c:crosses val="autoZero"/>
        <c:auto val="1"/>
        <c:lblAlgn val="ctr"/>
        <c:lblOffset val="100"/>
        <c:noMultiLvlLbl val="0"/>
      </c:catAx>
      <c:valAx>
        <c:axId val="111502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012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[itc_fmcg_sales_dashboard....xlsx]Pivot tables!PivotTable17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tables'!$E$15</c:f>
              <c:strCache>
                <c:ptCount val="1"/>
                <c:pt idx="0">
                  <c:v>Total</c:v>
                </c:pt>
              </c:strCache>
            </c:strRef>
          </c:tx>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9B-4726-A329-F3D9AC313227}"/>
              </c:ext>
            </c:extLst>
          </c:dPt>
          <c:dPt>
            <c:idx val="1"/>
            <c:bubble3D val="0"/>
            <c:explosion val="0"/>
            <c:spPr>
              <a:solidFill>
                <a:schemeClr val="accent2"/>
              </a:solidFill>
              <a:ln w="19050">
                <a:solidFill>
                  <a:schemeClr val="lt1"/>
                </a:solidFill>
              </a:ln>
              <a:effectLst/>
            </c:spPr>
            <c:extLst>
              <c:ext xmlns:c16="http://schemas.microsoft.com/office/drawing/2014/chart" uri="{C3380CC4-5D6E-409C-BE32-E72D297353CC}">
                <c16:uniqueId val="{00000003-749B-4726-A329-F3D9AC3132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tables'!$D$16:$D$18</c:f>
              <c:strCache>
                <c:ptCount val="2"/>
                <c:pt idx="0">
                  <c:v>Foods</c:v>
                </c:pt>
                <c:pt idx="1">
                  <c:v>Personal Care</c:v>
                </c:pt>
              </c:strCache>
            </c:strRef>
          </c:cat>
          <c:val>
            <c:numRef>
              <c:f>'Pivot tables'!$E$16:$E$18</c:f>
              <c:numCache>
                <c:formatCode>General</c:formatCode>
                <c:ptCount val="2"/>
                <c:pt idx="0">
                  <c:v>5464707.1700000037</c:v>
                </c:pt>
                <c:pt idx="1">
                  <c:v>5028631.2500000009</c:v>
                </c:pt>
              </c:numCache>
            </c:numRef>
          </c:val>
          <c:extLst>
            <c:ext xmlns:c16="http://schemas.microsoft.com/office/drawing/2014/chart" uri="{C3380CC4-5D6E-409C-BE32-E72D297353CC}">
              <c16:uniqueId val="{00000004-749B-4726-A329-F3D9AC31322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[itc_fmcg_sales_dashboard....xlsx]Pivot tables!PivotTable11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Top 10 Products by Revenue </a:t>
            </a:r>
            <a:endParaRPr lang="en-US" b="1"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tables'!$B$7</c:f>
              <c:strCache>
                <c:ptCount val="1"/>
                <c:pt idx="0">
                  <c:v>Total</c:v>
                </c:pt>
              </c:strCache>
            </c:strRef>
          </c:tx>
          <c:spPr>
            <a:solidFill>
              <a:schemeClr val="accent1"/>
            </a:solidFill>
            <a:ln>
              <a:noFill/>
            </a:ln>
            <a:effectLst/>
          </c:spPr>
          <c:invertIfNegative val="0"/>
          <c:cat>
            <c:strRef>
              <c:f>'Pivot tables'!$A$8:$A$20</c:f>
              <c:strCache>
                <c:ptCount val="12"/>
                <c:pt idx="0">
                  <c:v>Aashirvaad Atta</c:v>
                </c:pt>
                <c:pt idx="1">
                  <c:v>B Natural Juice</c:v>
                </c:pt>
                <c:pt idx="2">
                  <c:v>Bingo Chips</c:v>
                </c:pt>
                <c:pt idx="3">
                  <c:v>Charmis Lotion</c:v>
                </c:pt>
                <c:pt idx="4">
                  <c:v>Dark Fantasy Cookies</c:v>
                </c:pt>
                <c:pt idx="5">
                  <c:v>Dermafique Cream</c:v>
                </c:pt>
                <c:pt idx="6">
                  <c:v>Fabelle Chocolate</c:v>
                </c:pt>
                <c:pt idx="7">
                  <c:v>Fiama Soap</c:v>
                </c:pt>
                <c:pt idx="8">
                  <c:v>Savlon Handwash</c:v>
                </c:pt>
                <c:pt idx="9">
                  <c:v>Sunfeast Biscuits</c:v>
                </c:pt>
                <c:pt idx="10">
                  <c:v>Vivel Body Wash</c:v>
                </c:pt>
                <c:pt idx="11">
                  <c:v>Yippee Noodles</c:v>
                </c:pt>
              </c:strCache>
            </c:strRef>
          </c:cat>
          <c:val>
            <c:numRef>
              <c:f>'Pivot tables'!$B$8:$B$20</c:f>
              <c:numCache>
                <c:formatCode>0</c:formatCode>
                <c:ptCount val="12"/>
                <c:pt idx="0">
                  <c:v>2263957.5899999994</c:v>
                </c:pt>
                <c:pt idx="1">
                  <c:v>2813430.0199999996</c:v>
                </c:pt>
                <c:pt idx="2">
                  <c:v>2660978.290000001</c:v>
                </c:pt>
                <c:pt idx="3">
                  <c:v>3608868.8299999987</c:v>
                </c:pt>
                <c:pt idx="4">
                  <c:v>2741182.3800000008</c:v>
                </c:pt>
                <c:pt idx="5">
                  <c:v>3631999.7600000002</c:v>
                </c:pt>
                <c:pt idx="6">
                  <c:v>2640135.27</c:v>
                </c:pt>
                <c:pt idx="7">
                  <c:v>4022916.1899999981</c:v>
                </c:pt>
                <c:pt idx="8">
                  <c:v>3887082.9400000004</c:v>
                </c:pt>
                <c:pt idx="9">
                  <c:v>3252067.8800000004</c:v>
                </c:pt>
                <c:pt idx="10">
                  <c:v>3406941.4699999997</c:v>
                </c:pt>
                <c:pt idx="11">
                  <c:v>3585179.2800000007</c:v>
                </c:pt>
              </c:numCache>
            </c:numRef>
          </c:val>
          <c:extLst>
            <c:ext xmlns:c16="http://schemas.microsoft.com/office/drawing/2014/chart" uri="{C3380CC4-5D6E-409C-BE32-E72D297353CC}">
              <c16:uniqueId val="{00000000-17EF-4566-BF27-15795F839D3C}"/>
            </c:ext>
          </c:extLst>
        </c:ser>
        <c:dLbls>
          <c:showLegendKey val="0"/>
          <c:showVal val="0"/>
          <c:showCatName val="0"/>
          <c:showSerName val="0"/>
          <c:showPercent val="0"/>
          <c:showBubbleSize val="0"/>
        </c:dLbls>
        <c:gapWidth val="182"/>
        <c:axId val="1114992607"/>
        <c:axId val="1114990207"/>
      </c:barChart>
      <c:catAx>
        <c:axId val="111499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90207"/>
        <c:crosses val="autoZero"/>
        <c:auto val="1"/>
        <c:lblAlgn val="ctr"/>
        <c:lblOffset val="100"/>
        <c:noMultiLvlLbl val="0"/>
      </c:catAx>
      <c:valAx>
        <c:axId val="111499020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99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[itc_fmcg_sales_dashboard....xlsx]Pivot tables!PivotTable18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Monthly Profit vs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tables'!$H$15</c:f>
              <c:strCache>
                <c:ptCount val="1"/>
                <c:pt idx="0">
                  <c:v>Sum of Profit</c:v>
                </c:pt>
              </c:strCache>
            </c:strRef>
          </c:tx>
          <c:spPr>
            <a:solidFill>
              <a:schemeClr val="accent1"/>
            </a:solidFill>
            <a:ln>
              <a:noFill/>
            </a:ln>
            <a:effectLst/>
          </c:spPr>
          <c:cat>
            <c:strRef>
              <c:f>'Pivot tables'!$G$16:$G$28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tables'!$H$16:$H$28</c:f>
              <c:numCache>
                <c:formatCode>0</c:formatCode>
                <c:ptCount val="12"/>
                <c:pt idx="0">
                  <c:v>1018577.54</c:v>
                </c:pt>
                <c:pt idx="1">
                  <c:v>1059771.68</c:v>
                </c:pt>
                <c:pt idx="2">
                  <c:v>892464.35000000009</c:v>
                </c:pt>
                <c:pt idx="3">
                  <c:v>1034453.2700000004</c:v>
                </c:pt>
                <c:pt idx="4">
                  <c:v>1123363.1999999997</c:v>
                </c:pt>
                <c:pt idx="5">
                  <c:v>735091.61999999976</c:v>
                </c:pt>
                <c:pt idx="6">
                  <c:v>927516.64</c:v>
                </c:pt>
                <c:pt idx="7">
                  <c:v>948725.01</c:v>
                </c:pt>
                <c:pt idx="8">
                  <c:v>837109.02000000014</c:v>
                </c:pt>
                <c:pt idx="9">
                  <c:v>710194.15</c:v>
                </c:pt>
                <c:pt idx="10">
                  <c:v>618099.65</c:v>
                </c:pt>
                <c:pt idx="11">
                  <c:v>587972.28999999969</c:v>
                </c:pt>
              </c:numCache>
            </c:numRef>
          </c:val>
          <c:extLst>
            <c:ext xmlns:c16="http://schemas.microsoft.com/office/drawing/2014/chart" uri="{C3380CC4-5D6E-409C-BE32-E72D297353CC}">
              <c16:uniqueId val="{00000001-6209-4DB2-B165-CF75AC87346F}"/>
            </c:ext>
          </c:extLst>
        </c:ser>
        <c:dLbls>
          <c:showLegendKey val="0"/>
          <c:showVal val="0"/>
          <c:showCatName val="0"/>
          <c:showSerName val="0"/>
          <c:showPercent val="0"/>
          <c:showBubbleSize val="0"/>
        </c:dLbls>
        <c:axId val="1575331600"/>
        <c:axId val="1575334000"/>
      </c:areaChart>
      <c:barChart>
        <c:barDir val="col"/>
        <c:grouping val="clustered"/>
        <c:varyColors val="0"/>
        <c:ser>
          <c:idx val="1"/>
          <c:order val="1"/>
          <c:tx>
            <c:strRef>
              <c:f>'Pivot tables'!$I$15</c:f>
              <c:strCache>
                <c:ptCount val="1"/>
                <c:pt idx="0">
                  <c:v>Sum of Revenue</c:v>
                </c:pt>
              </c:strCache>
            </c:strRef>
          </c:tx>
          <c:spPr>
            <a:solidFill>
              <a:schemeClr val="accent2"/>
            </a:solidFill>
            <a:ln>
              <a:noFill/>
            </a:ln>
            <a:effectLst/>
          </c:spPr>
          <c:invertIfNegative val="0"/>
          <c:cat>
            <c:strRef>
              <c:f>'Pivot tables'!$G$16:$G$28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tables'!$I$16:$I$28</c:f>
              <c:numCache>
                <c:formatCode>0</c:formatCode>
                <c:ptCount val="12"/>
                <c:pt idx="0">
                  <c:v>3878620.790000001</c:v>
                </c:pt>
                <c:pt idx="1">
                  <c:v>3912751.8399999994</c:v>
                </c:pt>
                <c:pt idx="2">
                  <c:v>3197365.8</c:v>
                </c:pt>
                <c:pt idx="3">
                  <c:v>3821005.2600000007</c:v>
                </c:pt>
                <c:pt idx="4">
                  <c:v>4128062.4000000004</c:v>
                </c:pt>
                <c:pt idx="5">
                  <c:v>2673135.08</c:v>
                </c:pt>
                <c:pt idx="6">
                  <c:v>3493000.54</c:v>
                </c:pt>
                <c:pt idx="7">
                  <c:v>3388736.1999999997</c:v>
                </c:pt>
                <c:pt idx="8">
                  <c:v>3007575.4899999988</c:v>
                </c:pt>
                <c:pt idx="9">
                  <c:v>2411029.9499999993</c:v>
                </c:pt>
                <c:pt idx="10">
                  <c:v>2344861.9999999991</c:v>
                </c:pt>
                <c:pt idx="11">
                  <c:v>2258594.5500000003</c:v>
                </c:pt>
              </c:numCache>
            </c:numRef>
          </c:val>
          <c:extLst>
            <c:ext xmlns:c16="http://schemas.microsoft.com/office/drawing/2014/chart" uri="{C3380CC4-5D6E-409C-BE32-E72D297353CC}">
              <c16:uniqueId val="{00000000-6209-4DB2-B165-CF75AC87346F}"/>
            </c:ext>
          </c:extLst>
        </c:ser>
        <c:dLbls>
          <c:showLegendKey val="0"/>
          <c:showVal val="0"/>
          <c:showCatName val="0"/>
          <c:showSerName val="0"/>
          <c:showPercent val="0"/>
          <c:showBubbleSize val="0"/>
        </c:dLbls>
        <c:gapWidth val="219"/>
        <c:axId val="1575331600"/>
        <c:axId val="1575334000"/>
      </c:barChart>
      <c:catAx>
        <c:axId val="157533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34000"/>
        <c:crosses val="autoZero"/>
        <c:auto val="1"/>
        <c:lblAlgn val="ctr"/>
        <c:lblOffset val="100"/>
        <c:noMultiLvlLbl val="0"/>
      </c:catAx>
      <c:valAx>
        <c:axId val="1575334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31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[itc_fmcg_sales_dashboard....xlsx]Pivot tables!PivotTable23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Channel Comparison</a:t>
            </a:r>
            <a:endParaRPr lang="en-US" b="1"/>
          </a:p>
        </c:rich>
      </c:tx>
      <c:layout>
        <c:manualLayout>
          <c:xMode val="edge"/>
          <c:yMode val="edge"/>
          <c:x val="0.14486753453496107"/>
          <c:y val="4.27893969895806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645868109707479"/>
          <c:y val="0.25024665672739727"/>
          <c:w val="0.63259238269082296"/>
          <c:h val="0.65704298312851139"/>
        </c:manualLayout>
      </c:layout>
      <c:pie3DChart>
        <c:varyColors val="1"/>
        <c:ser>
          <c:idx val="0"/>
          <c:order val="0"/>
          <c:tx>
            <c:strRef>
              <c:f>'Pivot tables'!$E$21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C91-414A-A911-F40FAB11BD4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C91-414A-A911-F40FAB11BD4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C91-414A-A911-F40FAB11BD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tables'!$D$22:$D$25</c:f>
              <c:strCache>
                <c:ptCount val="3"/>
                <c:pt idx="0">
                  <c:v>Online</c:v>
                </c:pt>
                <c:pt idx="1">
                  <c:v>Retail</c:v>
                </c:pt>
                <c:pt idx="2">
                  <c:v>Wholesale</c:v>
                </c:pt>
              </c:strCache>
            </c:strRef>
          </c:cat>
          <c:val>
            <c:numRef>
              <c:f>'Pivot tables'!$E$22:$E$25</c:f>
              <c:numCache>
                <c:formatCode>General</c:formatCode>
                <c:ptCount val="3"/>
                <c:pt idx="0">
                  <c:v>11586642.659999998</c:v>
                </c:pt>
                <c:pt idx="1">
                  <c:v>12680610.130000008</c:v>
                </c:pt>
                <c:pt idx="2">
                  <c:v>14247487.109999992</c:v>
                </c:pt>
              </c:numCache>
            </c:numRef>
          </c:val>
          <c:extLst>
            <c:ext xmlns:c16="http://schemas.microsoft.com/office/drawing/2014/chart" uri="{C3380CC4-5D6E-409C-BE32-E72D297353CC}">
              <c16:uniqueId val="{00000006-AC91-414A-A911-F40FAB11BD47}"/>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[itc_fmcg_sales_dashboard....xlsx]Pivot tables!PivotTable2</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Distributor</a:t>
            </a:r>
            <a:r>
              <a:rPr lang="en-US" baseline="0"/>
              <a:t> wise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tables'!$E$33</c:f>
              <c:strCache>
                <c:ptCount val="1"/>
                <c:pt idx="0">
                  <c:v>Total</c:v>
                </c:pt>
              </c:strCache>
            </c:strRef>
          </c:tx>
          <c:spPr>
            <a:solidFill>
              <a:schemeClr val="accent1"/>
            </a:solidFill>
            <a:ln>
              <a:noFill/>
            </a:ln>
            <a:effectLst/>
          </c:spPr>
          <c:invertIfNegative val="0"/>
          <c:cat>
            <c:strRef>
              <c:f>'Pivot tables'!$D$34:$D$39</c:f>
              <c:strCache>
                <c:ptCount val="5"/>
                <c:pt idx="0">
                  <c:v>ITC Central Warehouse</c:v>
                </c:pt>
                <c:pt idx="1">
                  <c:v>ITC East Depot</c:v>
                </c:pt>
                <c:pt idx="2">
                  <c:v>ITC North Depot</c:v>
                </c:pt>
                <c:pt idx="3">
                  <c:v>ITC South Depot</c:v>
                </c:pt>
                <c:pt idx="4">
                  <c:v>ITC West Depot</c:v>
                </c:pt>
              </c:strCache>
            </c:strRef>
          </c:cat>
          <c:val>
            <c:numRef>
              <c:f>'Pivot tables'!$E$34:$E$39</c:f>
              <c:numCache>
                <c:formatCode>0</c:formatCode>
                <c:ptCount val="5"/>
                <c:pt idx="0">
                  <c:v>7509419.1700000009</c:v>
                </c:pt>
                <c:pt idx="1">
                  <c:v>8315153.7899999972</c:v>
                </c:pt>
                <c:pt idx="2">
                  <c:v>6438918.0799999991</c:v>
                </c:pt>
                <c:pt idx="3">
                  <c:v>8180939.5600000005</c:v>
                </c:pt>
                <c:pt idx="4">
                  <c:v>8070309.2999999998</c:v>
                </c:pt>
              </c:numCache>
            </c:numRef>
          </c:val>
          <c:extLst>
            <c:ext xmlns:c16="http://schemas.microsoft.com/office/drawing/2014/chart" uri="{C3380CC4-5D6E-409C-BE32-E72D297353CC}">
              <c16:uniqueId val="{00000000-C7E9-43DE-AD9B-8AE42EFE67B4}"/>
            </c:ext>
          </c:extLst>
        </c:ser>
        <c:dLbls>
          <c:showLegendKey val="0"/>
          <c:showVal val="0"/>
          <c:showCatName val="0"/>
          <c:showSerName val="0"/>
          <c:showPercent val="0"/>
          <c:showBubbleSize val="0"/>
        </c:dLbls>
        <c:gapWidth val="219"/>
        <c:overlap val="-27"/>
        <c:axId val="443158768"/>
        <c:axId val="443155888"/>
      </c:barChart>
      <c:catAx>
        <c:axId val="44315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55888"/>
        <c:crosses val="autoZero"/>
        <c:auto val="1"/>
        <c:lblAlgn val="ctr"/>
        <c:lblOffset val="100"/>
        <c:noMultiLvlLbl val="0"/>
      </c:catAx>
      <c:valAx>
        <c:axId val="443155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5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381000</xdr:colOff>
      <xdr:row>12</xdr:row>
      <xdr:rowOff>8238</xdr:rowOff>
    </xdr:from>
    <xdr:to>
      <xdr:col>10</xdr:col>
      <xdr:colOff>144163</xdr:colOff>
      <xdr:row>26</xdr:row>
      <xdr:rowOff>156519</xdr:rowOff>
    </xdr:to>
    <xdr:graphicFrame macro="">
      <xdr:nvGraphicFramePr>
        <xdr:cNvPr id="2" name="Chart 1">
          <a:extLst>
            <a:ext uri="{FF2B5EF4-FFF2-40B4-BE49-F238E27FC236}">
              <a16:creationId xmlns:a16="http://schemas.microsoft.com/office/drawing/2014/main" id="{C83D5EF0-A9F8-33FD-03BC-62F72700A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436191</xdr:colOff>
      <xdr:row>0</xdr:row>
      <xdr:rowOff>157694</xdr:rowOff>
    </xdr:from>
    <xdr:to>
      <xdr:col>23</xdr:col>
      <xdr:colOff>46181</xdr:colOff>
      <xdr:row>41</xdr:row>
      <xdr:rowOff>103910</xdr:rowOff>
    </xdr:to>
    <xdr:sp macro="" textlink="">
      <xdr:nvSpPr>
        <xdr:cNvPr id="4" name="Rectangle 3">
          <a:extLst>
            <a:ext uri="{FF2B5EF4-FFF2-40B4-BE49-F238E27FC236}">
              <a16:creationId xmlns:a16="http://schemas.microsoft.com/office/drawing/2014/main" id="{4FD59BDB-5A91-974F-0656-7404647915D0}"/>
            </a:ext>
          </a:extLst>
        </xdr:cNvPr>
        <xdr:cNvSpPr/>
      </xdr:nvSpPr>
      <xdr:spPr>
        <a:xfrm>
          <a:off x="436191" y="157694"/>
          <a:ext cx="13683899" cy="7520034"/>
        </a:xfrm>
        <a:prstGeom prst="rect">
          <a:avLst/>
        </a:prstGeom>
        <a:solidFill>
          <a:schemeClr val="accent1">
            <a:lumMod val="20000"/>
            <a:lumOff val="80000"/>
          </a:schemeClr>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427790</xdr:colOff>
      <xdr:row>2</xdr:row>
      <xdr:rowOff>18585</xdr:rowOff>
    </xdr:from>
    <xdr:to>
      <xdr:col>20</xdr:col>
      <xdr:colOff>106948</xdr:colOff>
      <xdr:row>6</xdr:row>
      <xdr:rowOff>18585</xdr:rowOff>
    </xdr:to>
    <xdr:sp macro="" textlink="">
      <xdr:nvSpPr>
        <xdr:cNvPr id="5" name="Rectangle 4">
          <a:extLst>
            <a:ext uri="{FF2B5EF4-FFF2-40B4-BE49-F238E27FC236}">
              <a16:creationId xmlns:a16="http://schemas.microsoft.com/office/drawing/2014/main" id="{68DD3C88-5583-2269-988C-C9D7820A81AA}"/>
            </a:ext>
          </a:extLst>
        </xdr:cNvPr>
        <xdr:cNvSpPr/>
      </xdr:nvSpPr>
      <xdr:spPr>
        <a:xfrm>
          <a:off x="2272632" y="392901"/>
          <a:ext cx="10133263" cy="74863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solidFill>
                <a:schemeClr val="accent1">
                  <a:lumMod val="50000"/>
                </a:schemeClr>
              </a:solidFill>
              <a:latin typeface="Algerian" panose="04020705040A02060702" pitchFamily="82" charset="0"/>
            </a:rPr>
            <a:t> ITC FMCG Sales Dashboard  </a:t>
          </a:r>
        </a:p>
      </xdr:txBody>
    </xdr:sp>
    <xdr:clientData/>
  </xdr:twoCellAnchor>
  <xdr:twoCellAnchor editAs="oneCell">
    <xdr:from>
      <xdr:col>4</xdr:col>
      <xdr:colOff>381856</xdr:colOff>
      <xdr:row>2</xdr:row>
      <xdr:rowOff>118552</xdr:rowOff>
    </xdr:from>
    <xdr:to>
      <xdr:col>5</xdr:col>
      <xdr:colOff>393143</xdr:colOff>
      <xdr:row>5</xdr:row>
      <xdr:rowOff>109631</xdr:rowOff>
    </xdr:to>
    <xdr:pic>
      <xdr:nvPicPr>
        <xdr:cNvPr id="7" name="Picture 6">
          <a:extLst>
            <a:ext uri="{FF2B5EF4-FFF2-40B4-BE49-F238E27FC236}">
              <a16:creationId xmlns:a16="http://schemas.microsoft.com/office/drawing/2014/main" id="{AEF7615B-7CBA-BDB6-6377-8CCCE9AE52E4}"/>
            </a:ext>
          </a:extLst>
        </xdr:cNvPr>
        <xdr:cNvPicPr>
          <a:picLocks noChangeAspect="1"/>
        </xdr:cNvPicPr>
      </xdr:nvPicPr>
      <xdr:blipFill>
        <a:blip xmlns:r="http://schemas.openxmlformats.org/officeDocument/2006/relationships" r:embed="rId1"/>
        <a:stretch>
          <a:fillRect/>
        </a:stretch>
      </xdr:blipFill>
      <xdr:spPr>
        <a:xfrm>
          <a:off x="2829492" y="488007"/>
          <a:ext cx="623196" cy="545260"/>
        </a:xfrm>
        <a:prstGeom prst="rect">
          <a:avLst/>
        </a:prstGeom>
      </xdr:spPr>
    </xdr:pic>
    <xdr:clientData/>
  </xdr:twoCellAnchor>
  <xdr:twoCellAnchor editAs="oneCell">
    <xdr:from>
      <xdr:col>18</xdr:col>
      <xdr:colOff>120315</xdr:colOff>
      <xdr:row>2</xdr:row>
      <xdr:rowOff>80210</xdr:rowOff>
    </xdr:from>
    <xdr:to>
      <xdr:col>19</xdr:col>
      <xdr:colOff>173789</xdr:colOff>
      <xdr:row>5</xdr:row>
      <xdr:rowOff>133685</xdr:rowOff>
    </xdr:to>
    <xdr:pic>
      <xdr:nvPicPr>
        <xdr:cNvPr id="9" name="Graphic 8" descr="Money with solid fill">
          <a:extLst>
            <a:ext uri="{FF2B5EF4-FFF2-40B4-BE49-F238E27FC236}">
              <a16:creationId xmlns:a16="http://schemas.microsoft.com/office/drawing/2014/main" id="{B9B2F990-E93C-62C1-40CE-49B4C3AC083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189368" y="454526"/>
          <a:ext cx="668421" cy="614948"/>
        </a:xfrm>
        <a:prstGeom prst="rect">
          <a:avLst/>
        </a:prstGeom>
      </xdr:spPr>
    </xdr:pic>
    <xdr:clientData/>
  </xdr:twoCellAnchor>
  <xdr:twoCellAnchor>
    <xdr:from>
      <xdr:col>0</xdr:col>
      <xdr:colOff>604024</xdr:colOff>
      <xdr:row>6</xdr:row>
      <xdr:rowOff>130097</xdr:rowOff>
    </xdr:from>
    <xdr:to>
      <xdr:col>3</xdr:col>
      <xdr:colOff>260195</xdr:colOff>
      <xdr:row>11</xdr:row>
      <xdr:rowOff>55756</xdr:rowOff>
    </xdr:to>
    <xdr:sp macro="" textlink="">
      <xdr:nvSpPr>
        <xdr:cNvPr id="10" name="Rectangle 9">
          <a:extLst>
            <a:ext uri="{FF2B5EF4-FFF2-40B4-BE49-F238E27FC236}">
              <a16:creationId xmlns:a16="http://schemas.microsoft.com/office/drawing/2014/main" id="{FD154A75-01A2-597E-416A-4B12702B8DF6}"/>
            </a:ext>
          </a:extLst>
        </xdr:cNvPr>
        <xdr:cNvSpPr/>
      </xdr:nvSpPr>
      <xdr:spPr>
        <a:xfrm>
          <a:off x="604024" y="1245219"/>
          <a:ext cx="1496122" cy="85492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2">
                  <a:lumMod val="50000"/>
                </a:schemeClr>
              </a:solidFill>
            </a:rPr>
            <a:t>Total Revenu</a:t>
          </a:r>
        </a:p>
      </xdr:txBody>
    </xdr:sp>
    <xdr:clientData/>
  </xdr:twoCellAnchor>
  <xdr:twoCellAnchor>
    <xdr:from>
      <xdr:col>6</xdr:col>
      <xdr:colOff>195147</xdr:colOff>
      <xdr:row>6</xdr:row>
      <xdr:rowOff>130098</xdr:rowOff>
    </xdr:from>
    <xdr:to>
      <xdr:col>9</xdr:col>
      <xdr:colOff>83633</xdr:colOff>
      <xdr:row>11</xdr:row>
      <xdr:rowOff>74342</xdr:rowOff>
    </xdr:to>
    <xdr:sp macro="" textlink="">
      <xdr:nvSpPr>
        <xdr:cNvPr id="15" name="Rectangle 14">
          <a:extLst>
            <a:ext uri="{FF2B5EF4-FFF2-40B4-BE49-F238E27FC236}">
              <a16:creationId xmlns:a16="http://schemas.microsoft.com/office/drawing/2014/main" id="{D9D0401B-11FA-4C97-83EC-DB8E2AE95C51}"/>
            </a:ext>
          </a:extLst>
        </xdr:cNvPr>
        <xdr:cNvSpPr/>
      </xdr:nvSpPr>
      <xdr:spPr>
        <a:xfrm>
          <a:off x="3875049" y="1245220"/>
          <a:ext cx="1728438" cy="87351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2">
                  <a:lumMod val="50000"/>
                </a:schemeClr>
              </a:solidFill>
            </a:rPr>
            <a:t>Profit Margin</a:t>
          </a:r>
        </a:p>
      </xdr:txBody>
    </xdr:sp>
    <xdr:clientData/>
  </xdr:twoCellAnchor>
  <xdr:twoCellAnchor>
    <xdr:from>
      <xdr:col>3</xdr:col>
      <xdr:colOff>334537</xdr:colOff>
      <xdr:row>6</xdr:row>
      <xdr:rowOff>143107</xdr:rowOff>
    </xdr:from>
    <xdr:to>
      <xdr:col>6</xdr:col>
      <xdr:colOff>102220</xdr:colOff>
      <xdr:row>11</xdr:row>
      <xdr:rowOff>55756</xdr:rowOff>
    </xdr:to>
    <xdr:sp macro="" textlink="">
      <xdr:nvSpPr>
        <xdr:cNvPr id="16" name="Rectangle 15">
          <a:extLst>
            <a:ext uri="{FF2B5EF4-FFF2-40B4-BE49-F238E27FC236}">
              <a16:creationId xmlns:a16="http://schemas.microsoft.com/office/drawing/2014/main" id="{B2CC1A5C-819C-43DE-9DF8-5BDA91333CF5}"/>
            </a:ext>
          </a:extLst>
        </xdr:cNvPr>
        <xdr:cNvSpPr/>
      </xdr:nvSpPr>
      <xdr:spPr>
        <a:xfrm>
          <a:off x="2174488" y="1258229"/>
          <a:ext cx="1607634" cy="84191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2">
                  <a:lumMod val="50000"/>
                </a:schemeClr>
              </a:solidFill>
            </a:rPr>
            <a:t>Total</a:t>
          </a:r>
          <a:r>
            <a:rPr lang="en-US" sz="1600"/>
            <a:t> </a:t>
          </a:r>
          <a:r>
            <a:rPr lang="en-US" sz="1800">
              <a:solidFill>
                <a:schemeClr val="tx2">
                  <a:lumMod val="50000"/>
                </a:schemeClr>
              </a:solidFill>
            </a:rPr>
            <a:t>Profit</a:t>
          </a:r>
        </a:p>
      </xdr:txBody>
    </xdr:sp>
    <xdr:clientData/>
  </xdr:twoCellAnchor>
  <xdr:twoCellAnchor>
    <xdr:from>
      <xdr:col>9</xdr:col>
      <xdr:colOff>195146</xdr:colOff>
      <xdr:row>6</xdr:row>
      <xdr:rowOff>148682</xdr:rowOff>
    </xdr:from>
    <xdr:to>
      <xdr:col>12</xdr:col>
      <xdr:colOff>83633</xdr:colOff>
      <xdr:row>11</xdr:row>
      <xdr:rowOff>83633</xdr:rowOff>
    </xdr:to>
    <xdr:sp macro="" textlink="">
      <xdr:nvSpPr>
        <xdr:cNvPr id="17" name="Rectangle 16">
          <a:extLst>
            <a:ext uri="{FF2B5EF4-FFF2-40B4-BE49-F238E27FC236}">
              <a16:creationId xmlns:a16="http://schemas.microsoft.com/office/drawing/2014/main" id="{2F479FE2-884A-4829-A5DF-4163BF1D7CED}"/>
            </a:ext>
          </a:extLst>
        </xdr:cNvPr>
        <xdr:cNvSpPr/>
      </xdr:nvSpPr>
      <xdr:spPr>
        <a:xfrm>
          <a:off x="5715000" y="1263804"/>
          <a:ext cx="1728438" cy="86421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2">
                  <a:lumMod val="50000"/>
                </a:schemeClr>
              </a:solidFill>
            </a:rPr>
            <a:t>Total Quantity</a:t>
          </a:r>
        </a:p>
      </xdr:txBody>
    </xdr:sp>
    <xdr:clientData/>
  </xdr:twoCellAnchor>
  <xdr:twoCellAnchor>
    <xdr:from>
      <xdr:col>12</xdr:col>
      <xdr:colOff>176561</xdr:colOff>
      <xdr:row>6</xdr:row>
      <xdr:rowOff>167267</xdr:rowOff>
    </xdr:from>
    <xdr:to>
      <xdr:col>15</xdr:col>
      <xdr:colOff>139390</xdr:colOff>
      <xdr:row>11</xdr:row>
      <xdr:rowOff>74342</xdr:rowOff>
    </xdr:to>
    <xdr:sp macro="" textlink="">
      <xdr:nvSpPr>
        <xdr:cNvPr id="18" name="Rectangle 17">
          <a:extLst>
            <a:ext uri="{FF2B5EF4-FFF2-40B4-BE49-F238E27FC236}">
              <a16:creationId xmlns:a16="http://schemas.microsoft.com/office/drawing/2014/main" id="{41AC50B9-4EA2-42C1-B4B2-B2FA73AC0834}"/>
            </a:ext>
          </a:extLst>
        </xdr:cNvPr>
        <xdr:cNvSpPr/>
      </xdr:nvSpPr>
      <xdr:spPr>
        <a:xfrm>
          <a:off x="7536366" y="1282389"/>
          <a:ext cx="1802780" cy="83634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tx2">
                  <a:lumMod val="50000"/>
                </a:schemeClr>
              </a:solidFill>
            </a:rPr>
            <a:t>Avg Selling Price</a:t>
          </a:r>
        </a:p>
      </xdr:txBody>
    </xdr:sp>
    <xdr:clientData/>
  </xdr:twoCellAnchor>
  <xdr:twoCellAnchor>
    <xdr:from>
      <xdr:col>1</xdr:col>
      <xdr:colOff>92927</xdr:colOff>
      <xdr:row>8</xdr:row>
      <xdr:rowOff>139391</xdr:rowOff>
    </xdr:from>
    <xdr:to>
      <xdr:col>3</xdr:col>
      <xdr:colOff>148683</xdr:colOff>
      <xdr:row>10</xdr:row>
      <xdr:rowOff>148683</xdr:rowOff>
    </xdr:to>
    <xdr:sp macro="" textlink="'Pivot tables'!D31">
      <xdr:nvSpPr>
        <xdr:cNvPr id="20" name="Rectangle 19">
          <a:extLst>
            <a:ext uri="{FF2B5EF4-FFF2-40B4-BE49-F238E27FC236}">
              <a16:creationId xmlns:a16="http://schemas.microsoft.com/office/drawing/2014/main" id="{32433730-1960-7CE5-821F-E12BC2D9065F}"/>
            </a:ext>
          </a:extLst>
        </xdr:cNvPr>
        <xdr:cNvSpPr/>
      </xdr:nvSpPr>
      <xdr:spPr>
        <a:xfrm>
          <a:off x="706244" y="1626220"/>
          <a:ext cx="1282390" cy="381000"/>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4E6849F-40E1-4CC6-BF94-B313499890CC}" type="TxLink">
            <a:rPr lang="en-US" sz="1600" b="0" i="0" u="none" strike="noStrike">
              <a:solidFill>
                <a:srgbClr val="000000"/>
              </a:solidFill>
              <a:latin typeface="Calibri"/>
              <a:ea typeface="Calibri"/>
              <a:cs typeface="Calibri"/>
            </a:rPr>
            <a:pPr algn="ctr"/>
            <a:t>38514740</a:t>
          </a:fld>
          <a:endParaRPr lang="en-US" sz="1600"/>
        </a:p>
      </xdr:txBody>
    </xdr:sp>
    <xdr:clientData/>
  </xdr:twoCellAnchor>
  <xdr:twoCellAnchor>
    <xdr:from>
      <xdr:col>12</xdr:col>
      <xdr:colOff>260194</xdr:colOff>
      <xdr:row>8</xdr:row>
      <xdr:rowOff>120805</xdr:rowOff>
    </xdr:from>
    <xdr:to>
      <xdr:col>15</xdr:col>
      <xdr:colOff>65048</xdr:colOff>
      <xdr:row>10</xdr:row>
      <xdr:rowOff>148682</xdr:rowOff>
    </xdr:to>
    <xdr:sp macro="" textlink="'Pivot tables'!F31">
      <xdr:nvSpPr>
        <xdr:cNvPr id="22" name="Rectangle 21">
          <a:extLst>
            <a:ext uri="{FF2B5EF4-FFF2-40B4-BE49-F238E27FC236}">
              <a16:creationId xmlns:a16="http://schemas.microsoft.com/office/drawing/2014/main" id="{167D931D-039E-42F7-BDB7-80D9A5D3FEAF}"/>
            </a:ext>
          </a:extLst>
        </xdr:cNvPr>
        <xdr:cNvSpPr/>
      </xdr:nvSpPr>
      <xdr:spPr>
        <a:xfrm>
          <a:off x="7619999" y="1607634"/>
          <a:ext cx="1644805" cy="399585"/>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C3DDDE6-3D6E-496A-BDEB-65EAD966A9A1}" type="TxLink">
            <a:rPr lang="en-US" sz="1600" b="0" i="0" u="none" strike="noStrike">
              <a:solidFill>
                <a:srgbClr val="000000"/>
              </a:solidFill>
              <a:latin typeface="Calibri"/>
              <a:ea typeface="Calibri"/>
              <a:cs typeface="Calibri"/>
            </a:rPr>
            <a:pPr algn="ctr"/>
            <a:t>155</a:t>
          </a:fld>
          <a:endParaRPr lang="en-US" sz="1600"/>
        </a:p>
      </xdr:txBody>
    </xdr:sp>
    <xdr:clientData/>
  </xdr:twoCellAnchor>
  <xdr:twoCellAnchor>
    <xdr:from>
      <xdr:col>9</xdr:col>
      <xdr:colOff>278780</xdr:colOff>
      <xdr:row>8</xdr:row>
      <xdr:rowOff>120805</xdr:rowOff>
    </xdr:from>
    <xdr:to>
      <xdr:col>12</xdr:col>
      <xdr:colOff>18584</xdr:colOff>
      <xdr:row>10</xdr:row>
      <xdr:rowOff>143108</xdr:rowOff>
    </xdr:to>
    <xdr:sp macro="" textlink="">
      <xdr:nvSpPr>
        <xdr:cNvPr id="23" name="Rectangle 22">
          <a:extLst>
            <a:ext uri="{FF2B5EF4-FFF2-40B4-BE49-F238E27FC236}">
              <a16:creationId xmlns:a16="http://schemas.microsoft.com/office/drawing/2014/main" id="{764D8C5B-CE11-4786-B68B-97A19A8E8489}"/>
            </a:ext>
          </a:extLst>
        </xdr:cNvPr>
        <xdr:cNvSpPr/>
      </xdr:nvSpPr>
      <xdr:spPr>
        <a:xfrm>
          <a:off x="5798634" y="1607634"/>
          <a:ext cx="1579755" cy="394011"/>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tx1"/>
              </a:solidFill>
            </a:rPr>
            <a:t>247799</a:t>
          </a:r>
        </a:p>
      </xdr:txBody>
    </xdr:sp>
    <xdr:clientData/>
  </xdr:twoCellAnchor>
  <xdr:twoCellAnchor>
    <xdr:from>
      <xdr:col>6</xdr:col>
      <xdr:colOff>288074</xdr:colOff>
      <xdr:row>8</xdr:row>
      <xdr:rowOff>100362</xdr:rowOff>
    </xdr:from>
    <xdr:to>
      <xdr:col>8</xdr:col>
      <xdr:colOff>604023</xdr:colOff>
      <xdr:row>10</xdr:row>
      <xdr:rowOff>118947</xdr:rowOff>
    </xdr:to>
    <xdr:sp macro="" textlink="'Pivot tables'!H31">
      <xdr:nvSpPr>
        <xdr:cNvPr id="24" name="Rectangle 23">
          <a:extLst>
            <a:ext uri="{FF2B5EF4-FFF2-40B4-BE49-F238E27FC236}">
              <a16:creationId xmlns:a16="http://schemas.microsoft.com/office/drawing/2014/main" id="{B14724C4-BC60-45AC-9340-7DF5F81B365E}"/>
            </a:ext>
          </a:extLst>
        </xdr:cNvPr>
        <xdr:cNvSpPr/>
      </xdr:nvSpPr>
      <xdr:spPr>
        <a:xfrm>
          <a:off x="3967976" y="1587191"/>
          <a:ext cx="1542584" cy="390293"/>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3A6FAEF-1676-47B5-96F5-B74F036F1698}" type="TxLink">
            <a:rPr lang="en-US" sz="1600" b="0" i="0" u="none" strike="noStrike">
              <a:solidFill>
                <a:srgbClr val="000000"/>
              </a:solidFill>
              <a:latin typeface="Calibri"/>
              <a:ea typeface="Calibri"/>
              <a:cs typeface="Calibri"/>
            </a:rPr>
            <a:pPr algn="ctr"/>
            <a:t>27</a:t>
          </a:fld>
          <a:endParaRPr lang="en-US" sz="1600"/>
        </a:p>
      </xdr:txBody>
    </xdr:sp>
    <xdr:clientData/>
  </xdr:twoCellAnchor>
  <xdr:twoCellAnchor>
    <xdr:from>
      <xdr:col>3</xdr:col>
      <xdr:colOff>418170</xdr:colOff>
      <xdr:row>8</xdr:row>
      <xdr:rowOff>113372</xdr:rowOff>
    </xdr:from>
    <xdr:to>
      <xdr:col>6</xdr:col>
      <xdr:colOff>18586</xdr:colOff>
      <xdr:row>10</xdr:row>
      <xdr:rowOff>131957</xdr:rowOff>
    </xdr:to>
    <xdr:sp macro="" textlink="'Pivot tables'!E31">
      <xdr:nvSpPr>
        <xdr:cNvPr id="25" name="Rectangle 24">
          <a:extLst>
            <a:ext uri="{FF2B5EF4-FFF2-40B4-BE49-F238E27FC236}">
              <a16:creationId xmlns:a16="http://schemas.microsoft.com/office/drawing/2014/main" id="{1B6A52F5-0C75-4217-819D-30557D11F5A0}"/>
            </a:ext>
          </a:extLst>
        </xdr:cNvPr>
        <xdr:cNvSpPr/>
      </xdr:nvSpPr>
      <xdr:spPr>
        <a:xfrm>
          <a:off x="2258121" y="1600201"/>
          <a:ext cx="1440367" cy="390293"/>
        </a:xfrm>
        <a:prstGeom prst="rect">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CC33FF4-5268-40BB-B29F-EF88255939BB}" type="TxLink">
            <a:rPr lang="en-US" sz="1600" b="0" i="0" u="none" strike="noStrike">
              <a:solidFill>
                <a:srgbClr val="000000"/>
              </a:solidFill>
              <a:latin typeface="Calibri"/>
              <a:ea typeface="Calibri"/>
              <a:cs typeface="Calibri"/>
            </a:rPr>
            <a:pPr algn="ctr"/>
            <a:t>10493338</a:t>
          </a:fld>
          <a:endParaRPr lang="en-US" sz="1600"/>
        </a:p>
      </xdr:txBody>
    </xdr:sp>
    <xdr:clientData/>
  </xdr:twoCellAnchor>
  <xdr:twoCellAnchor>
    <xdr:from>
      <xdr:col>0</xdr:col>
      <xdr:colOff>594734</xdr:colOff>
      <xdr:row>11</xdr:row>
      <xdr:rowOff>167267</xdr:rowOff>
    </xdr:from>
    <xdr:to>
      <xdr:col>6</xdr:col>
      <xdr:colOff>207819</xdr:colOff>
      <xdr:row>25</xdr:row>
      <xdr:rowOff>173182</xdr:rowOff>
    </xdr:to>
    <xdr:graphicFrame macro="">
      <xdr:nvGraphicFramePr>
        <xdr:cNvPr id="29" name="Chart 28">
          <a:extLst>
            <a:ext uri="{FF2B5EF4-FFF2-40B4-BE49-F238E27FC236}">
              <a16:creationId xmlns:a16="http://schemas.microsoft.com/office/drawing/2014/main" id="{208D0AE4-E5B2-47B3-A871-5AE5C5DD8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268363</xdr:colOff>
      <xdr:row>11</xdr:row>
      <xdr:rowOff>159382</xdr:rowOff>
    </xdr:from>
    <xdr:to>
      <xdr:col>11</xdr:col>
      <xdr:colOff>46182</xdr:colOff>
      <xdr:row>25</xdr:row>
      <xdr:rowOff>150091</xdr:rowOff>
    </xdr:to>
    <xdr:graphicFrame macro="">
      <xdr:nvGraphicFramePr>
        <xdr:cNvPr id="30" name="Chart 29">
          <a:extLst>
            <a:ext uri="{FF2B5EF4-FFF2-40B4-BE49-F238E27FC236}">
              <a16:creationId xmlns:a16="http://schemas.microsoft.com/office/drawing/2014/main" id="{CAB6F30A-5A6B-46AC-92E0-41E5E08E6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588819</xdr:colOff>
      <xdr:row>26</xdr:row>
      <xdr:rowOff>90957</xdr:rowOff>
    </xdr:from>
    <xdr:to>
      <xdr:col>8</xdr:col>
      <xdr:colOff>381000</xdr:colOff>
      <xdr:row>40</xdr:row>
      <xdr:rowOff>103908</xdr:rowOff>
    </xdr:to>
    <xdr:graphicFrame macro="">
      <xdr:nvGraphicFramePr>
        <xdr:cNvPr id="31" name="Chart 30">
          <a:extLst>
            <a:ext uri="{FF2B5EF4-FFF2-40B4-BE49-F238E27FC236}">
              <a16:creationId xmlns:a16="http://schemas.microsoft.com/office/drawing/2014/main" id="{A9A6582A-B309-4D0F-AE63-49B604863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605562</xdr:colOff>
      <xdr:row>26</xdr:row>
      <xdr:rowOff>115455</xdr:rowOff>
    </xdr:from>
    <xdr:to>
      <xdr:col>4</xdr:col>
      <xdr:colOff>519546</xdr:colOff>
      <xdr:row>40</xdr:row>
      <xdr:rowOff>69273</xdr:rowOff>
    </xdr:to>
    <xdr:graphicFrame macro="">
      <xdr:nvGraphicFramePr>
        <xdr:cNvPr id="32" name="Chart 31">
          <a:extLst>
            <a:ext uri="{FF2B5EF4-FFF2-40B4-BE49-F238E27FC236}">
              <a16:creationId xmlns:a16="http://schemas.microsoft.com/office/drawing/2014/main" id="{1E38CC81-1AAF-45D0-98F5-6C2BFA5FB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227811</xdr:colOff>
      <xdr:row>7</xdr:row>
      <xdr:rowOff>5351</xdr:rowOff>
    </xdr:from>
    <xdr:to>
      <xdr:col>22</xdr:col>
      <xdr:colOff>514026</xdr:colOff>
      <xdr:row>13</xdr:row>
      <xdr:rowOff>33229</xdr:rowOff>
    </xdr:to>
    <mc:AlternateContent xmlns:mc="http://schemas.openxmlformats.org/markup-compatibility/2006" xmlns:a14="http://schemas.microsoft.com/office/drawing/2010/main">
      <mc:Choice Requires="a14">
        <xdr:graphicFrame macro="">
          <xdr:nvGraphicFramePr>
            <xdr:cNvPr id="2" name="SalesChannel 1">
              <a:extLst>
                <a:ext uri="{FF2B5EF4-FFF2-40B4-BE49-F238E27FC236}">
                  <a16:creationId xmlns:a16="http://schemas.microsoft.com/office/drawing/2014/main" id="{31FD57C2-7343-4520-8824-B431B5A0E64C}"/>
                </a:ext>
              </a:extLst>
            </xdr:cNvPr>
            <xdr:cNvGraphicFramePr/>
          </xdr:nvGraphicFramePr>
          <xdr:xfrm>
            <a:off x="0" y="0"/>
            <a:ext cx="0" cy="0"/>
          </xdr:xfrm>
          <a:graphic>
            <a:graphicData uri="http://schemas.microsoft.com/office/drawing/2010/slicer">
              <sle:slicer xmlns:sle="http://schemas.microsoft.com/office/drawing/2010/slicer" name="SalesChannel 1"/>
            </a:graphicData>
          </a:graphic>
        </xdr:graphicFrame>
      </mc:Choice>
      <mc:Fallback xmlns="">
        <xdr:sp macro="" textlink="">
          <xdr:nvSpPr>
            <xdr:cNvPr id="0" name=""/>
            <xdr:cNvSpPr>
              <a:spLocks noTextEdit="1"/>
            </xdr:cNvSpPr>
          </xdr:nvSpPr>
          <xdr:spPr>
            <a:xfrm>
              <a:off x="12419811" y="1318336"/>
              <a:ext cx="1505415" cy="1153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531091</xdr:colOff>
      <xdr:row>6</xdr:row>
      <xdr:rowOff>160848</xdr:rowOff>
    </xdr:from>
    <xdr:to>
      <xdr:col>20</xdr:col>
      <xdr:colOff>153190</xdr:colOff>
      <xdr:row>26</xdr:row>
      <xdr:rowOff>57727</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5C87E7A2-BAD0-4EC9-AF24-E52EF9D7B7E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0894291" y="1286263"/>
              <a:ext cx="1450899" cy="36482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234849</xdr:colOff>
      <xdr:row>13</xdr:row>
      <xdr:rowOff>114048</xdr:rowOff>
    </xdr:from>
    <xdr:to>
      <xdr:col>22</xdr:col>
      <xdr:colOff>474601</xdr:colOff>
      <xdr:row>18</xdr:row>
      <xdr:rowOff>161637</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8ED4B7B5-B40E-4505-AEE8-4630CBABD06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426849" y="2552448"/>
              <a:ext cx="1458952" cy="985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248650</xdr:colOff>
      <xdr:row>6</xdr:row>
      <xdr:rowOff>184501</xdr:rowOff>
    </xdr:from>
    <xdr:to>
      <xdr:col>17</xdr:col>
      <xdr:colOff>482825</xdr:colOff>
      <xdr:row>26</xdr:row>
      <xdr:rowOff>34635</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A4655145-BE54-4ECB-9D9B-2E25B0A65E7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9392650" y="1309916"/>
              <a:ext cx="1453375" cy="3601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246396</xdr:colOff>
      <xdr:row>19</xdr:row>
      <xdr:rowOff>28158</xdr:rowOff>
    </xdr:from>
    <xdr:to>
      <xdr:col>22</xdr:col>
      <xdr:colOff>467562</xdr:colOff>
      <xdr:row>26</xdr:row>
      <xdr:rowOff>35169</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576BD6B0-0C17-490B-A34D-4A1DC739C05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438396" y="3591973"/>
              <a:ext cx="1440366" cy="13656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438727</xdr:colOff>
      <xdr:row>26</xdr:row>
      <xdr:rowOff>90713</xdr:rowOff>
    </xdr:from>
    <xdr:to>
      <xdr:col>16</xdr:col>
      <xdr:colOff>277090</xdr:colOff>
      <xdr:row>40</xdr:row>
      <xdr:rowOff>127000</xdr:rowOff>
    </xdr:to>
    <xdr:graphicFrame macro="">
      <xdr:nvGraphicFramePr>
        <xdr:cNvPr id="14" name="Chart 13">
          <a:extLst>
            <a:ext uri="{FF2B5EF4-FFF2-40B4-BE49-F238E27FC236}">
              <a16:creationId xmlns:a16="http://schemas.microsoft.com/office/drawing/2014/main" id="{0C679E39-8638-47D9-945E-3EC29E42A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116218</xdr:colOff>
      <xdr:row>11</xdr:row>
      <xdr:rowOff>173665</xdr:rowOff>
    </xdr:from>
    <xdr:to>
      <xdr:col>15</xdr:col>
      <xdr:colOff>196273</xdr:colOff>
      <xdr:row>25</xdr:row>
      <xdr:rowOff>161636</xdr:rowOff>
    </xdr:to>
    <xdr:graphicFrame macro="">
      <xdr:nvGraphicFramePr>
        <xdr:cNvPr id="19" name="Chart 18">
          <a:extLst>
            <a:ext uri="{FF2B5EF4-FFF2-40B4-BE49-F238E27FC236}">
              <a16:creationId xmlns:a16="http://schemas.microsoft.com/office/drawing/2014/main" id="{CDC367C7-3040-4ADC-9614-38A4F582E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316523</xdr:colOff>
      <xdr:row>26</xdr:row>
      <xdr:rowOff>93785</xdr:rowOff>
    </xdr:from>
    <xdr:to>
      <xdr:col>22</xdr:col>
      <xdr:colOff>457200</xdr:colOff>
      <xdr:row>40</xdr:row>
      <xdr:rowOff>117231</xdr:rowOff>
    </xdr:to>
    <xdr:graphicFrame macro="">
      <xdr:nvGraphicFramePr>
        <xdr:cNvPr id="13" name="Chart 12">
          <a:extLst>
            <a:ext uri="{FF2B5EF4-FFF2-40B4-BE49-F238E27FC236}">
              <a16:creationId xmlns:a16="http://schemas.microsoft.com/office/drawing/2014/main" id="{3F850A58-2ED9-45AA-90A5-F4D4EF5A0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unika Penugonda" refreshedDate="45958.418635532405" createdVersion="8" refreshedVersion="8" minRefreshableVersion="3" recordCount="1000" xr:uid="{A04ED114-6F9E-40BD-BF07-228B4697F865}">
  <cacheSource type="worksheet">
    <worksheetSource name="Table2"/>
  </cacheSource>
  <cacheFields count="15">
    <cacheField name="Region" numFmtId="0">
      <sharedItems count="4">
        <s v="North"/>
        <s v="East"/>
        <s v="South"/>
        <s v="West"/>
      </sharedItems>
    </cacheField>
    <cacheField name="State" numFmtId="0">
      <sharedItems count="17">
        <s v="Delhi"/>
        <s v="Assam"/>
        <s v="West Bengal"/>
        <s v="Karnataka"/>
        <s v="Tamil Nadu"/>
        <s v="Goa"/>
        <s v="Bihar"/>
        <s v="Maharashtra"/>
        <s v="Rajasthan"/>
        <s v="Haryana"/>
        <s v="Uttar Pradesh"/>
        <s v="Gujarat"/>
        <s v="Telangana"/>
        <s v="Punjab"/>
        <s v="Kerala"/>
        <s v="Odisha"/>
        <s v="Andhra Pradesh"/>
      </sharedItems>
    </cacheField>
    <cacheField name="Category" numFmtId="0">
      <sharedItems count="2">
        <s v="Personal Care"/>
        <s v="Foods"/>
      </sharedItems>
    </cacheField>
    <cacheField name="Product" numFmtId="0">
      <sharedItems count="12">
        <s v="Savlon Handwash"/>
        <s v="Charmis Lotion"/>
        <s v="Vivel Body Wash"/>
        <s v="Bingo Chips"/>
        <s v="B Natural Juice"/>
        <s v="Yippee Noodles"/>
        <s v="Fabelle Chocolate"/>
        <s v="Fiama Soap"/>
        <s v="Aashirvaad Atta"/>
        <s v="Dermafique Cream"/>
        <s v="Dark Fantasy Cookies"/>
        <s v="Sunfeast Biscuits"/>
      </sharedItems>
    </cacheField>
    <cacheField name="Distributor" numFmtId="0">
      <sharedItems count="5">
        <s v="ITC West Depot"/>
        <s v="ITC South Depot"/>
        <s v="ITC North Depot"/>
        <s v="ITC Central Warehouse"/>
        <s v="ITC East Depot"/>
      </sharedItems>
    </cacheField>
    <cacheField name="SalesChannel" numFmtId="0">
      <sharedItems count="3">
        <s v="Online"/>
        <s v="Retail"/>
        <s v="Wholesale"/>
      </sharedItems>
    </cacheField>
    <cacheField name="Quantity" numFmtId="0">
      <sharedItems containsSemiMixedTypes="0" containsString="0" containsNumber="1" containsInteger="1" minValue="10" maxValue="499"/>
    </cacheField>
    <cacheField name="UnitPrice" numFmtId="0">
      <sharedItems containsSemiMixedTypes="0" containsString="0" containsNumber="1" minValue="10" maxValue="299.85000000000002"/>
    </cacheField>
    <cacheField name="Revenue" numFmtId="0">
      <sharedItems containsSemiMixedTypes="0" containsString="0" containsNumber="1" minValue="218.19" maxValue="142315.6"/>
    </cacheField>
    <cacheField name="Cost" numFmtId="0">
      <sharedItems containsSemiMixedTypes="0" containsString="0" containsNumber="1" minValue="147.27000000000001" maxValue="104444.13"/>
    </cacheField>
    <cacheField name="Profit" numFmtId="0">
      <sharedItems containsSemiMixedTypes="0" containsString="0" containsNumber="1" minValue="70.92" maxValue="55136"/>
    </cacheField>
    <cacheField name="Date" numFmtId="14">
      <sharedItems containsSemiMixedTypes="0" containsNonDate="0" containsDate="1" containsString="0" minDate="2023-01-01T00:00:00" maxDate="2025-09-02T00:00:00" count="33">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sharedItems>
      <fieldGroup par="14"/>
    </cacheField>
    <cacheField name="Months (Date)" numFmtId="0" databaseField="0">
      <fieldGroup base="11">
        <rangePr groupBy="months" startDate="2023-01-01T00:00:00" endDate="2025-09-02T00:00:00"/>
        <groupItems count="14">
          <s v="&lt;1/1/2023"/>
          <s v="Jan"/>
          <s v="Feb"/>
          <s v="Mar"/>
          <s v="Apr"/>
          <s v="May"/>
          <s v="Jun"/>
          <s v="Jul"/>
          <s v="Aug"/>
          <s v="Sep"/>
          <s v="Oct"/>
          <s v="Nov"/>
          <s v="Dec"/>
          <s v="&gt;9/2/2025"/>
        </groupItems>
      </fieldGroup>
    </cacheField>
    <cacheField name="Quarters (Date)" numFmtId="0" databaseField="0">
      <fieldGroup base="11">
        <rangePr groupBy="quarters" startDate="2023-01-01T00:00:00" endDate="2025-09-02T00:00:00"/>
        <groupItems count="6">
          <s v="&lt;1/1/2023"/>
          <s v="Qtr1"/>
          <s v="Qtr2"/>
          <s v="Qtr3"/>
          <s v="Qtr4"/>
          <s v="&gt;9/2/2025"/>
        </groupItems>
      </fieldGroup>
    </cacheField>
    <cacheField name="Years (Date)" numFmtId="0" databaseField="0">
      <fieldGroup base="11">
        <rangePr groupBy="years" startDate="2023-01-01T00:00:00" endDate="2025-09-02T00:00:00"/>
        <groupItems count="5">
          <s v="&lt;1/1/2023"/>
          <s v="2023"/>
          <s v="2024"/>
          <s v="2025"/>
          <s v="&gt;9/2/2025"/>
        </groupItems>
      </fieldGroup>
    </cacheField>
  </cacheFields>
  <extLst>
    <ext xmlns:x14="http://schemas.microsoft.com/office/spreadsheetml/2009/9/main" uri="{725AE2AE-9491-48be-B2B4-4EB974FC3084}">
      <x14:pivotCacheDefinition pivotCacheId="484505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9"/>
    <n v="41.58"/>
    <n v="3284.82"/>
    <n v="2493.62"/>
    <n v="791.2"/>
    <x v="0"/>
  </r>
  <r>
    <x v="1"/>
    <x v="1"/>
    <x v="0"/>
    <x v="1"/>
    <x v="1"/>
    <x v="1"/>
    <n v="273"/>
    <n v="55.29"/>
    <n v="15094.17"/>
    <n v="9941.6299999999992"/>
    <n v="5152.54"/>
    <x v="0"/>
  </r>
  <r>
    <x v="1"/>
    <x v="2"/>
    <x v="0"/>
    <x v="0"/>
    <x v="2"/>
    <x v="0"/>
    <n v="171"/>
    <n v="71.8"/>
    <n v="12277.8"/>
    <n v="7462.24"/>
    <n v="4815.5600000000004"/>
    <x v="0"/>
  </r>
  <r>
    <x v="2"/>
    <x v="3"/>
    <x v="0"/>
    <x v="2"/>
    <x v="1"/>
    <x v="1"/>
    <n v="113"/>
    <n v="119.31"/>
    <n v="13482.03"/>
    <n v="9648.68"/>
    <n v="3833.35"/>
    <x v="0"/>
  </r>
  <r>
    <x v="2"/>
    <x v="4"/>
    <x v="0"/>
    <x v="0"/>
    <x v="2"/>
    <x v="2"/>
    <n v="58"/>
    <n v="136.19999999999999"/>
    <n v="7899.6"/>
    <n v="6590.94"/>
    <n v="1308.6600000000001"/>
    <x v="0"/>
  </r>
  <r>
    <x v="2"/>
    <x v="4"/>
    <x v="1"/>
    <x v="3"/>
    <x v="0"/>
    <x v="1"/>
    <n v="122"/>
    <n v="219.24"/>
    <n v="26747.279999999999"/>
    <n v="20130.03"/>
    <n v="6617.25"/>
    <x v="0"/>
  </r>
  <r>
    <x v="3"/>
    <x v="5"/>
    <x v="1"/>
    <x v="4"/>
    <x v="3"/>
    <x v="1"/>
    <n v="263"/>
    <n v="179.29"/>
    <n v="47153.27"/>
    <n v="39517.050000000003"/>
    <n v="7636.22"/>
    <x v="0"/>
  </r>
  <r>
    <x v="0"/>
    <x v="0"/>
    <x v="1"/>
    <x v="5"/>
    <x v="2"/>
    <x v="0"/>
    <n v="455"/>
    <n v="200.78"/>
    <n v="91354.9"/>
    <n v="77638.28"/>
    <n v="13716.62"/>
    <x v="0"/>
  </r>
  <r>
    <x v="2"/>
    <x v="4"/>
    <x v="0"/>
    <x v="0"/>
    <x v="1"/>
    <x v="1"/>
    <n v="227"/>
    <n v="173.74"/>
    <n v="39438.980000000003"/>
    <n v="32834.639999999999"/>
    <n v="6604.34"/>
    <x v="0"/>
  </r>
  <r>
    <x v="1"/>
    <x v="6"/>
    <x v="1"/>
    <x v="6"/>
    <x v="4"/>
    <x v="2"/>
    <n v="319"/>
    <n v="184.32"/>
    <n v="58798.080000000002"/>
    <n v="49836.69"/>
    <n v="8961.39"/>
    <x v="0"/>
  </r>
  <r>
    <x v="3"/>
    <x v="7"/>
    <x v="1"/>
    <x v="6"/>
    <x v="4"/>
    <x v="0"/>
    <n v="440"/>
    <n v="27.26"/>
    <n v="11994.4"/>
    <n v="9007.18"/>
    <n v="2987.22"/>
    <x v="0"/>
  </r>
  <r>
    <x v="3"/>
    <x v="7"/>
    <x v="1"/>
    <x v="5"/>
    <x v="3"/>
    <x v="2"/>
    <n v="351"/>
    <n v="221.51"/>
    <n v="77750.009999999995"/>
    <n v="65443.07"/>
    <n v="12306.94"/>
    <x v="0"/>
  </r>
  <r>
    <x v="1"/>
    <x v="6"/>
    <x v="0"/>
    <x v="1"/>
    <x v="4"/>
    <x v="1"/>
    <n v="444"/>
    <n v="248.05"/>
    <n v="110134.2"/>
    <n v="85862.2"/>
    <n v="24272"/>
    <x v="0"/>
  </r>
  <r>
    <x v="3"/>
    <x v="8"/>
    <x v="0"/>
    <x v="7"/>
    <x v="1"/>
    <x v="1"/>
    <n v="140"/>
    <n v="32.549999999999997"/>
    <n v="4557"/>
    <n v="2736.87"/>
    <n v="1820.13"/>
    <x v="0"/>
  </r>
  <r>
    <x v="1"/>
    <x v="2"/>
    <x v="1"/>
    <x v="8"/>
    <x v="3"/>
    <x v="0"/>
    <n v="163"/>
    <n v="13.8"/>
    <n v="2249.4"/>
    <n v="1722.78"/>
    <n v="526.62"/>
    <x v="0"/>
  </r>
  <r>
    <x v="1"/>
    <x v="1"/>
    <x v="0"/>
    <x v="9"/>
    <x v="2"/>
    <x v="1"/>
    <n v="210"/>
    <n v="273.79000000000002"/>
    <n v="57495.9"/>
    <n v="44116.61"/>
    <n v="13379.29"/>
    <x v="0"/>
  </r>
  <r>
    <x v="3"/>
    <x v="5"/>
    <x v="0"/>
    <x v="7"/>
    <x v="1"/>
    <x v="1"/>
    <n v="298"/>
    <n v="277.60000000000002"/>
    <n v="82724.800000000003"/>
    <n v="59707.9"/>
    <n v="23016.9"/>
    <x v="0"/>
  </r>
  <r>
    <x v="3"/>
    <x v="7"/>
    <x v="1"/>
    <x v="10"/>
    <x v="1"/>
    <x v="0"/>
    <n v="205"/>
    <n v="260.75"/>
    <n v="53453.75"/>
    <n v="35325.949999999997"/>
    <n v="18127.8"/>
    <x v="0"/>
  </r>
  <r>
    <x v="3"/>
    <x v="8"/>
    <x v="1"/>
    <x v="11"/>
    <x v="0"/>
    <x v="2"/>
    <n v="269"/>
    <n v="243.91"/>
    <n v="65611.789999999994"/>
    <n v="47182.81"/>
    <n v="18428.98"/>
    <x v="0"/>
  </r>
  <r>
    <x v="0"/>
    <x v="9"/>
    <x v="0"/>
    <x v="0"/>
    <x v="0"/>
    <x v="2"/>
    <n v="180"/>
    <n v="229.87"/>
    <n v="41376.6"/>
    <n v="32516.05"/>
    <n v="8860.5499999999993"/>
    <x v="0"/>
  </r>
  <r>
    <x v="1"/>
    <x v="6"/>
    <x v="1"/>
    <x v="3"/>
    <x v="1"/>
    <x v="2"/>
    <n v="79"/>
    <n v="81.33"/>
    <n v="6425.07"/>
    <n v="4113.1400000000003"/>
    <n v="2311.9299999999998"/>
    <x v="0"/>
  </r>
  <r>
    <x v="0"/>
    <x v="10"/>
    <x v="1"/>
    <x v="4"/>
    <x v="4"/>
    <x v="2"/>
    <n v="485"/>
    <n v="245.74"/>
    <n v="119183.9"/>
    <n v="101297.9"/>
    <n v="17886"/>
    <x v="0"/>
  </r>
  <r>
    <x v="3"/>
    <x v="11"/>
    <x v="0"/>
    <x v="9"/>
    <x v="1"/>
    <x v="1"/>
    <n v="70"/>
    <n v="65.760000000000005"/>
    <n v="4603.2"/>
    <n v="2808.95"/>
    <n v="1794.25"/>
    <x v="0"/>
  </r>
  <r>
    <x v="3"/>
    <x v="7"/>
    <x v="1"/>
    <x v="4"/>
    <x v="3"/>
    <x v="1"/>
    <n v="139"/>
    <n v="298.3"/>
    <n v="41463.699999999997"/>
    <n v="31738.799999999999"/>
    <n v="9724.9"/>
    <x v="0"/>
  </r>
  <r>
    <x v="1"/>
    <x v="1"/>
    <x v="0"/>
    <x v="7"/>
    <x v="4"/>
    <x v="0"/>
    <n v="224"/>
    <n v="46.96"/>
    <n v="10519.04"/>
    <n v="8172.47"/>
    <n v="2346.5700000000002"/>
    <x v="0"/>
  </r>
  <r>
    <x v="0"/>
    <x v="0"/>
    <x v="0"/>
    <x v="0"/>
    <x v="3"/>
    <x v="0"/>
    <n v="243"/>
    <n v="80.25"/>
    <n v="19500.75"/>
    <n v="14032.06"/>
    <n v="5468.69"/>
    <x v="0"/>
  </r>
  <r>
    <x v="2"/>
    <x v="12"/>
    <x v="1"/>
    <x v="6"/>
    <x v="3"/>
    <x v="1"/>
    <n v="330"/>
    <n v="254.19"/>
    <n v="83882.7"/>
    <n v="61254.46"/>
    <n v="22628.240000000002"/>
    <x v="0"/>
  </r>
  <r>
    <x v="0"/>
    <x v="9"/>
    <x v="0"/>
    <x v="0"/>
    <x v="3"/>
    <x v="2"/>
    <n v="160"/>
    <n v="255.96"/>
    <n v="40953.599999999999"/>
    <n v="25829.200000000001"/>
    <n v="15124.4"/>
    <x v="0"/>
  </r>
  <r>
    <x v="0"/>
    <x v="13"/>
    <x v="0"/>
    <x v="9"/>
    <x v="0"/>
    <x v="2"/>
    <n v="70"/>
    <n v="85.1"/>
    <n v="5957"/>
    <n v="4450.7"/>
    <n v="1506.3"/>
    <x v="0"/>
  </r>
  <r>
    <x v="1"/>
    <x v="1"/>
    <x v="0"/>
    <x v="9"/>
    <x v="2"/>
    <x v="0"/>
    <n v="74"/>
    <n v="268.16000000000003"/>
    <n v="19843.84"/>
    <n v="13332.13"/>
    <n v="6511.71"/>
    <x v="0"/>
  </r>
  <r>
    <x v="2"/>
    <x v="12"/>
    <x v="0"/>
    <x v="7"/>
    <x v="3"/>
    <x v="0"/>
    <n v="241"/>
    <n v="197.13"/>
    <n v="47508.33"/>
    <n v="35580.78"/>
    <n v="11927.55"/>
    <x v="1"/>
  </r>
  <r>
    <x v="1"/>
    <x v="1"/>
    <x v="0"/>
    <x v="0"/>
    <x v="1"/>
    <x v="2"/>
    <n v="235"/>
    <n v="259.70999999999998"/>
    <n v="61031.85"/>
    <n v="39968.39"/>
    <n v="21063.46"/>
    <x v="1"/>
  </r>
  <r>
    <x v="0"/>
    <x v="9"/>
    <x v="1"/>
    <x v="5"/>
    <x v="4"/>
    <x v="1"/>
    <n v="340"/>
    <n v="183.62"/>
    <n v="62430.8"/>
    <n v="45295.94"/>
    <n v="17134.86"/>
    <x v="1"/>
  </r>
  <r>
    <x v="0"/>
    <x v="0"/>
    <x v="0"/>
    <x v="2"/>
    <x v="1"/>
    <x v="2"/>
    <n v="85"/>
    <n v="119.98"/>
    <n v="10198.299999999999"/>
    <n v="8481.0300000000007"/>
    <n v="1717.27"/>
    <x v="1"/>
  </r>
  <r>
    <x v="3"/>
    <x v="8"/>
    <x v="1"/>
    <x v="11"/>
    <x v="3"/>
    <x v="1"/>
    <n v="292"/>
    <n v="289.89"/>
    <n v="84647.88"/>
    <n v="61124.11"/>
    <n v="23523.77"/>
    <x v="1"/>
  </r>
  <r>
    <x v="2"/>
    <x v="14"/>
    <x v="0"/>
    <x v="2"/>
    <x v="0"/>
    <x v="0"/>
    <n v="479"/>
    <n v="102.44"/>
    <n v="49068.76"/>
    <n v="37119.18"/>
    <n v="11949.58"/>
    <x v="1"/>
  </r>
  <r>
    <x v="1"/>
    <x v="2"/>
    <x v="0"/>
    <x v="0"/>
    <x v="2"/>
    <x v="2"/>
    <n v="10"/>
    <n v="72.55"/>
    <n v="725.5"/>
    <n v="554.80999999999995"/>
    <n v="170.69"/>
    <x v="1"/>
  </r>
  <r>
    <x v="0"/>
    <x v="13"/>
    <x v="1"/>
    <x v="11"/>
    <x v="0"/>
    <x v="2"/>
    <n v="101"/>
    <n v="179.07"/>
    <n v="18086.07"/>
    <n v="15371.87"/>
    <n v="2714.2"/>
    <x v="1"/>
  </r>
  <r>
    <x v="3"/>
    <x v="5"/>
    <x v="0"/>
    <x v="9"/>
    <x v="0"/>
    <x v="2"/>
    <n v="275"/>
    <n v="71.41"/>
    <n v="19637.75"/>
    <n v="14161.77"/>
    <n v="5475.98"/>
    <x v="1"/>
  </r>
  <r>
    <x v="3"/>
    <x v="8"/>
    <x v="0"/>
    <x v="7"/>
    <x v="4"/>
    <x v="0"/>
    <n v="45"/>
    <n v="288.88"/>
    <n v="12999.6"/>
    <n v="9863.32"/>
    <n v="3136.28"/>
    <x v="1"/>
  </r>
  <r>
    <x v="2"/>
    <x v="12"/>
    <x v="1"/>
    <x v="4"/>
    <x v="1"/>
    <x v="1"/>
    <n v="41"/>
    <n v="140.31"/>
    <n v="5752.71"/>
    <n v="4294.2"/>
    <n v="1458.51"/>
    <x v="1"/>
  </r>
  <r>
    <x v="0"/>
    <x v="0"/>
    <x v="0"/>
    <x v="9"/>
    <x v="4"/>
    <x v="2"/>
    <n v="297"/>
    <n v="200.38"/>
    <n v="59512.86"/>
    <n v="37613.550000000003"/>
    <n v="21899.31"/>
    <x v="1"/>
  </r>
  <r>
    <x v="0"/>
    <x v="9"/>
    <x v="1"/>
    <x v="8"/>
    <x v="1"/>
    <x v="2"/>
    <n v="310"/>
    <n v="90.11"/>
    <n v="27934.1"/>
    <n v="23615.86"/>
    <n v="4318.24"/>
    <x v="1"/>
  </r>
  <r>
    <x v="3"/>
    <x v="5"/>
    <x v="1"/>
    <x v="4"/>
    <x v="1"/>
    <x v="2"/>
    <n v="184"/>
    <n v="136.24"/>
    <n v="25068.16"/>
    <n v="18483.439999999999"/>
    <n v="6584.72"/>
    <x v="1"/>
  </r>
  <r>
    <x v="0"/>
    <x v="13"/>
    <x v="0"/>
    <x v="7"/>
    <x v="2"/>
    <x v="0"/>
    <n v="189"/>
    <n v="131.49"/>
    <n v="24851.61"/>
    <n v="20594.810000000001"/>
    <n v="4256.8"/>
    <x v="1"/>
  </r>
  <r>
    <x v="3"/>
    <x v="7"/>
    <x v="1"/>
    <x v="10"/>
    <x v="2"/>
    <x v="0"/>
    <n v="475"/>
    <n v="13.77"/>
    <n v="6540.75"/>
    <n v="4064.27"/>
    <n v="2476.48"/>
    <x v="1"/>
  </r>
  <r>
    <x v="2"/>
    <x v="12"/>
    <x v="0"/>
    <x v="9"/>
    <x v="4"/>
    <x v="0"/>
    <n v="62"/>
    <n v="243.15"/>
    <n v="15075.3"/>
    <n v="11127.46"/>
    <n v="3947.84"/>
    <x v="1"/>
  </r>
  <r>
    <x v="1"/>
    <x v="1"/>
    <x v="0"/>
    <x v="7"/>
    <x v="4"/>
    <x v="2"/>
    <n v="454"/>
    <n v="217.07"/>
    <n v="98549.78"/>
    <n v="74107.100000000006"/>
    <n v="24442.68"/>
    <x v="1"/>
  </r>
  <r>
    <x v="1"/>
    <x v="2"/>
    <x v="1"/>
    <x v="3"/>
    <x v="2"/>
    <x v="1"/>
    <n v="77"/>
    <n v="33.19"/>
    <n v="2555.63"/>
    <n v="2029.63"/>
    <n v="526"/>
    <x v="1"/>
  </r>
  <r>
    <x v="0"/>
    <x v="0"/>
    <x v="0"/>
    <x v="2"/>
    <x v="1"/>
    <x v="0"/>
    <n v="172"/>
    <n v="89.93"/>
    <n v="15467.96"/>
    <n v="12324.59"/>
    <n v="3143.37"/>
    <x v="1"/>
  </r>
  <r>
    <x v="3"/>
    <x v="8"/>
    <x v="1"/>
    <x v="11"/>
    <x v="0"/>
    <x v="1"/>
    <n v="282"/>
    <n v="254.02"/>
    <n v="71633.64"/>
    <n v="51420.19"/>
    <n v="20213.45"/>
    <x v="1"/>
  </r>
  <r>
    <x v="1"/>
    <x v="15"/>
    <x v="1"/>
    <x v="8"/>
    <x v="1"/>
    <x v="1"/>
    <n v="141"/>
    <n v="248.72"/>
    <n v="35069.519999999997"/>
    <n v="28834.93"/>
    <n v="6234.59"/>
    <x v="1"/>
  </r>
  <r>
    <x v="2"/>
    <x v="12"/>
    <x v="0"/>
    <x v="2"/>
    <x v="0"/>
    <x v="1"/>
    <n v="351"/>
    <n v="236.13"/>
    <n v="82881.63"/>
    <n v="52096.03"/>
    <n v="30785.599999999999"/>
    <x v="1"/>
  </r>
  <r>
    <x v="3"/>
    <x v="11"/>
    <x v="0"/>
    <x v="2"/>
    <x v="1"/>
    <x v="2"/>
    <n v="215"/>
    <n v="292.93"/>
    <n v="62979.95"/>
    <n v="47880.07"/>
    <n v="15099.88"/>
    <x v="1"/>
  </r>
  <r>
    <x v="1"/>
    <x v="15"/>
    <x v="1"/>
    <x v="3"/>
    <x v="4"/>
    <x v="0"/>
    <n v="302"/>
    <n v="202.28"/>
    <n v="61088.56"/>
    <n v="36681.85"/>
    <n v="24406.71"/>
    <x v="1"/>
  </r>
  <r>
    <x v="2"/>
    <x v="12"/>
    <x v="0"/>
    <x v="9"/>
    <x v="4"/>
    <x v="2"/>
    <n v="73"/>
    <n v="142.01"/>
    <n v="10366.73"/>
    <n v="6250.15"/>
    <n v="4116.58"/>
    <x v="1"/>
  </r>
  <r>
    <x v="3"/>
    <x v="8"/>
    <x v="0"/>
    <x v="0"/>
    <x v="1"/>
    <x v="1"/>
    <n v="447"/>
    <n v="160.46"/>
    <n v="71725.62"/>
    <n v="53637.77"/>
    <n v="18087.849999999999"/>
    <x v="1"/>
  </r>
  <r>
    <x v="3"/>
    <x v="7"/>
    <x v="1"/>
    <x v="4"/>
    <x v="4"/>
    <x v="2"/>
    <n v="359"/>
    <n v="251.19"/>
    <n v="90177.21"/>
    <n v="60262.52"/>
    <n v="29914.69"/>
    <x v="1"/>
  </r>
  <r>
    <x v="2"/>
    <x v="16"/>
    <x v="1"/>
    <x v="8"/>
    <x v="1"/>
    <x v="2"/>
    <n v="127"/>
    <n v="196.34"/>
    <n v="24935.18"/>
    <n v="17587.080000000002"/>
    <n v="7348.1"/>
    <x v="1"/>
  </r>
  <r>
    <x v="3"/>
    <x v="11"/>
    <x v="1"/>
    <x v="10"/>
    <x v="2"/>
    <x v="1"/>
    <n v="85"/>
    <n v="186.85"/>
    <n v="15882.25"/>
    <n v="11766.52"/>
    <n v="4115.7299999999996"/>
    <x v="1"/>
  </r>
  <r>
    <x v="3"/>
    <x v="7"/>
    <x v="0"/>
    <x v="2"/>
    <x v="1"/>
    <x v="2"/>
    <n v="363"/>
    <n v="127.15"/>
    <n v="46155.45"/>
    <n v="33953.629999999997"/>
    <n v="12201.82"/>
    <x v="1"/>
  </r>
  <r>
    <x v="1"/>
    <x v="2"/>
    <x v="0"/>
    <x v="7"/>
    <x v="4"/>
    <x v="0"/>
    <n v="179"/>
    <n v="103.28"/>
    <n v="18487.12"/>
    <n v="15011.74"/>
    <n v="3475.38"/>
    <x v="1"/>
  </r>
  <r>
    <x v="2"/>
    <x v="4"/>
    <x v="0"/>
    <x v="7"/>
    <x v="4"/>
    <x v="2"/>
    <n v="223"/>
    <n v="56.87"/>
    <n v="12682.01"/>
    <n v="8419.25"/>
    <n v="4262.76"/>
    <x v="1"/>
  </r>
  <r>
    <x v="0"/>
    <x v="0"/>
    <x v="0"/>
    <x v="1"/>
    <x v="2"/>
    <x v="2"/>
    <n v="420"/>
    <n v="230.72"/>
    <n v="96902.399999999994"/>
    <n v="66723.789999999994"/>
    <n v="30178.61"/>
    <x v="1"/>
  </r>
  <r>
    <x v="0"/>
    <x v="9"/>
    <x v="1"/>
    <x v="5"/>
    <x v="0"/>
    <x v="0"/>
    <n v="223"/>
    <n v="33.71"/>
    <n v="7517.33"/>
    <n v="6152.14"/>
    <n v="1365.19"/>
    <x v="1"/>
  </r>
  <r>
    <x v="0"/>
    <x v="0"/>
    <x v="1"/>
    <x v="5"/>
    <x v="1"/>
    <x v="2"/>
    <n v="163"/>
    <n v="294.49"/>
    <n v="48001.87"/>
    <n v="34602.239999999998"/>
    <n v="13399.63"/>
    <x v="2"/>
  </r>
  <r>
    <x v="3"/>
    <x v="7"/>
    <x v="1"/>
    <x v="5"/>
    <x v="4"/>
    <x v="2"/>
    <n v="394"/>
    <n v="106.97"/>
    <n v="42146.18"/>
    <n v="26083.25"/>
    <n v="16062.93"/>
    <x v="2"/>
  </r>
  <r>
    <x v="3"/>
    <x v="8"/>
    <x v="1"/>
    <x v="4"/>
    <x v="2"/>
    <x v="1"/>
    <n v="157"/>
    <n v="130.24"/>
    <n v="20447.68"/>
    <n v="12704.91"/>
    <n v="7742.77"/>
    <x v="2"/>
  </r>
  <r>
    <x v="1"/>
    <x v="1"/>
    <x v="0"/>
    <x v="9"/>
    <x v="1"/>
    <x v="0"/>
    <n v="450"/>
    <n v="136.30000000000001"/>
    <n v="61335"/>
    <n v="45652.4"/>
    <n v="15682.6"/>
    <x v="2"/>
  </r>
  <r>
    <x v="2"/>
    <x v="3"/>
    <x v="1"/>
    <x v="10"/>
    <x v="4"/>
    <x v="1"/>
    <n v="470"/>
    <n v="284.83"/>
    <n v="133870.1"/>
    <n v="82742.31"/>
    <n v="51127.79"/>
    <x v="2"/>
  </r>
  <r>
    <x v="2"/>
    <x v="4"/>
    <x v="1"/>
    <x v="5"/>
    <x v="4"/>
    <x v="0"/>
    <n v="493"/>
    <n v="169.03"/>
    <n v="83331.789999999994"/>
    <n v="68316.55"/>
    <n v="15015.24"/>
    <x v="2"/>
  </r>
  <r>
    <x v="1"/>
    <x v="2"/>
    <x v="1"/>
    <x v="5"/>
    <x v="2"/>
    <x v="0"/>
    <n v="426"/>
    <n v="145.91999999999999"/>
    <n v="62161.919999999998"/>
    <n v="43743.65"/>
    <n v="18418.27"/>
    <x v="2"/>
  </r>
  <r>
    <x v="1"/>
    <x v="1"/>
    <x v="1"/>
    <x v="11"/>
    <x v="3"/>
    <x v="1"/>
    <n v="226"/>
    <n v="214.12"/>
    <n v="48391.12"/>
    <n v="29087.46"/>
    <n v="19303.66"/>
    <x v="2"/>
  </r>
  <r>
    <x v="0"/>
    <x v="13"/>
    <x v="1"/>
    <x v="10"/>
    <x v="1"/>
    <x v="2"/>
    <n v="205"/>
    <n v="22.99"/>
    <n v="4712.95"/>
    <n v="3725.48"/>
    <n v="987.47"/>
    <x v="2"/>
  </r>
  <r>
    <x v="2"/>
    <x v="4"/>
    <x v="1"/>
    <x v="8"/>
    <x v="4"/>
    <x v="0"/>
    <n v="63"/>
    <n v="162.9"/>
    <n v="10262.700000000001"/>
    <n v="7780.52"/>
    <n v="2482.1799999999998"/>
    <x v="2"/>
  </r>
  <r>
    <x v="3"/>
    <x v="8"/>
    <x v="0"/>
    <x v="7"/>
    <x v="1"/>
    <x v="1"/>
    <n v="427"/>
    <n v="70.83"/>
    <n v="30244.41"/>
    <n v="21012.51"/>
    <n v="9231.9"/>
    <x v="2"/>
  </r>
  <r>
    <x v="3"/>
    <x v="7"/>
    <x v="1"/>
    <x v="11"/>
    <x v="3"/>
    <x v="0"/>
    <n v="100"/>
    <n v="89.91"/>
    <n v="8991"/>
    <n v="6792.79"/>
    <n v="2198.21"/>
    <x v="2"/>
  </r>
  <r>
    <x v="2"/>
    <x v="14"/>
    <x v="0"/>
    <x v="9"/>
    <x v="3"/>
    <x v="2"/>
    <n v="337"/>
    <n v="250.1"/>
    <n v="84283.7"/>
    <n v="66383.990000000005"/>
    <n v="17899.71"/>
    <x v="2"/>
  </r>
  <r>
    <x v="3"/>
    <x v="7"/>
    <x v="0"/>
    <x v="2"/>
    <x v="2"/>
    <x v="1"/>
    <n v="312"/>
    <n v="131.72"/>
    <n v="41096.639999999999"/>
    <n v="31218.3"/>
    <n v="9878.34"/>
    <x v="2"/>
  </r>
  <r>
    <x v="3"/>
    <x v="5"/>
    <x v="0"/>
    <x v="9"/>
    <x v="0"/>
    <x v="0"/>
    <n v="225"/>
    <n v="153.32"/>
    <n v="34497"/>
    <n v="27841.23"/>
    <n v="6655.77"/>
    <x v="2"/>
  </r>
  <r>
    <x v="0"/>
    <x v="13"/>
    <x v="0"/>
    <x v="0"/>
    <x v="2"/>
    <x v="2"/>
    <n v="486"/>
    <n v="20.9"/>
    <n v="10157.4"/>
    <n v="7312.77"/>
    <n v="2844.63"/>
    <x v="2"/>
  </r>
  <r>
    <x v="3"/>
    <x v="8"/>
    <x v="1"/>
    <x v="11"/>
    <x v="3"/>
    <x v="2"/>
    <n v="163"/>
    <n v="154.47"/>
    <n v="25178.61"/>
    <n v="18104.75"/>
    <n v="7073.86"/>
    <x v="2"/>
  </r>
  <r>
    <x v="0"/>
    <x v="10"/>
    <x v="1"/>
    <x v="11"/>
    <x v="4"/>
    <x v="2"/>
    <n v="200"/>
    <n v="157.58000000000001"/>
    <n v="31516"/>
    <n v="21819.16"/>
    <n v="9696.84"/>
    <x v="2"/>
  </r>
  <r>
    <x v="3"/>
    <x v="5"/>
    <x v="0"/>
    <x v="7"/>
    <x v="0"/>
    <x v="2"/>
    <n v="126"/>
    <n v="271.70999999999998"/>
    <n v="34235.46"/>
    <n v="21109.96"/>
    <n v="13125.5"/>
    <x v="2"/>
  </r>
  <r>
    <x v="3"/>
    <x v="8"/>
    <x v="1"/>
    <x v="3"/>
    <x v="1"/>
    <x v="2"/>
    <n v="105"/>
    <n v="198.78"/>
    <n v="20871.900000000001"/>
    <n v="15886.6"/>
    <n v="4985.3"/>
    <x v="3"/>
  </r>
  <r>
    <x v="2"/>
    <x v="3"/>
    <x v="0"/>
    <x v="9"/>
    <x v="1"/>
    <x v="2"/>
    <n v="268"/>
    <n v="25.03"/>
    <n v="6708.04"/>
    <n v="4589.3100000000004"/>
    <n v="2118.73"/>
    <x v="3"/>
  </r>
  <r>
    <x v="1"/>
    <x v="6"/>
    <x v="1"/>
    <x v="8"/>
    <x v="0"/>
    <x v="0"/>
    <n v="429"/>
    <n v="11.52"/>
    <n v="4942.08"/>
    <n v="3905.47"/>
    <n v="1036.6099999999999"/>
    <x v="3"/>
  </r>
  <r>
    <x v="2"/>
    <x v="3"/>
    <x v="1"/>
    <x v="11"/>
    <x v="2"/>
    <x v="2"/>
    <n v="280"/>
    <n v="83.65"/>
    <n v="23422"/>
    <n v="14235.4"/>
    <n v="9186.6"/>
    <x v="3"/>
  </r>
  <r>
    <x v="0"/>
    <x v="9"/>
    <x v="0"/>
    <x v="0"/>
    <x v="2"/>
    <x v="0"/>
    <n v="374"/>
    <n v="230.95"/>
    <n v="86375.3"/>
    <n v="69826.87"/>
    <n v="16548.43"/>
    <x v="3"/>
  </r>
  <r>
    <x v="3"/>
    <x v="7"/>
    <x v="1"/>
    <x v="10"/>
    <x v="3"/>
    <x v="1"/>
    <n v="176"/>
    <n v="200.47"/>
    <n v="35282.720000000001"/>
    <n v="28421.14"/>
    <n v="6861.58"/>
    <x v="3"/>
  </r>
  <r>
    <x v="1"/>
    <x v="15"/>
    <x v="1"/>
    <x v="6"/>
    <x v="2"/>
    <x v="1"/>
    <n v="291"/>
    <n v="174.7"/>
    <n v="50837.7"/>
    <n v="42137.95"/>
    <n v="8699.75"/>
    <x v="3"/>
  </r>
  <r>
    <x v="3"/>
    <x v="7"/>
    <x v="0"/>
    <x v="0"/>
    <x v="1"/>
    <x v="0"/>
    <n v="248"/>
    <n v="164.36"/>
    <n v="40761.279999999999"/>
    <n v="30376.65"/>
    <n v="10384.629999999999"/>
    <x v="3"/>
  </r>
  <r>
    <x v="2"/>
    <x v="3"/>
    <x v="1"/>
    <x v="10"/>
    <x v="3"/>
    <x v="0"/>
    <n v="70"/>
    <n v="39.270000000000003"/>
    <n v="2748.9"/>
    <n v="2246.5"/>
    <n v="502.4"/>
    <x v="3"/>
  </r>
  <r>
    <x v="0"/>
    <x v="0"/>
    <x v="1"/>
    <x v="6"/>
    <x v="4"/>
    <x v="1"/>
    <n v="451"/>
    <n v="271.17"/>
    <n v="122297.67"/>
    <n v="94512.31"/>
    <n v="27785.360000000001"/>
    <x v="3"/>
  </r>
  <r>
    <x v="0"/>
    <x v="10"/>
    <x v="1"/>
    <x v="10"/>
    <x v="1"/>
    <x v="1"/>
    <n v="230"/>
    <n v="190.93"/>
    <n v="43913.9"/>
    <n v="32134.45"/>
    <n v="11779.45"/>
    <x v="3"/>
  </r>
  <r>
    <x v="0"/>
    <x v="13"/>
    <x v="0"/>
    <x v="2"/>
    <x v="3"/>
    <x v="0"/>
    <n v="210"/>
    <n v="295.36"/>
    <n v="62025.599999999999"/>
    <n v="41687.49"/>
    <n v="20338.11"/>
    <x v="3"/>
  </r>
  <r>
    <x v="3"/>
    <x v="5"/>
    <x v="0"/>
    <x v="9"/>
    <x v="2"/>
    <x v="2"/>
    <n v="98"/>
    <n v="262.52"/>
    <n v="25726.959999999999"/>
    <n v="20468.28"/>
    <n v="5258.68"/>
    <x v="3"/>
  </r>
  <r>
    <x v="2"/>
    <x v="14"/>
    <x v="1"/>
    <x v="4"/>
    <x v="1"/>
    <x v="0"/>
    <n v="456"/>
    <n v="195.84"/>
    <n v="89303.039999999994"/>
    <n v="58405.04"/>
    <n v="30898"/>
    <x v="3"/>
  </r>
  <r>
    <x v="1"/>
    <x v="15"/>
    <x v="1"/>
    <x v="6"/>
    <x v="3"/>
    <x v="2"/>
    <n v="63"/>
    <n v="290.70999999999998"/>
    <n v="18314.73"/>
    <n v="11393.63"/>
    <n v="6921.1"/>
    <x v="3"/>
  </r>
  <r>
    <x v="2"/>
    <x v="14"/>
    <x v="0"/>
    <x v="7"/>
    <x v="0"/>
    <x v="0"/>
    <n v="407"/>
    <n v="73.349999999999994"/>
    <n v="29853.45"/>
    <n v="18809.52"/>
    <n v="11043.93"/>
    <x v="3"/>
  </r>
  <r>
    <x v="0"/>
    <x v="0"/>
    <x v="0"/>
    <x v="9"/>
    <x v="0"/>
    <x v="1"/>
    <n v="365"/>
    <n v="48.71"/>
    <n v="17779.150000000001"/>
    <n v="11025.75"/>
    <n v="6753.4"/>
    <x v="3"/>
  </r>
  <r>
    <x v="0"/>
    <x v="0"/>
    <x v="0"/>
    <x v="2"/>
    <x v="1"/>
    <x v="1"/>
    <n v="321"/>
    <n v="264.23"/>
    <n v="84817.83"/>
    <n v="62586.82"/>
    <n v="22231.01"/>
    <x v="3"/>
  </r>
  <r>
    <x v="0"/>
    <x v="9"/>
    <x v="1"/>
    <x v="4"/>
    <x v="4"/>
    <x v="0"/>
    <n v="472"/>
    <n v="69.650000000000006"/>
    <n v="32874.800000000003"/>
    <n v="20722.52"/>
    <n v="12152.28"/>
    <x v="3"/>
  </r>
  <r>
    <x v="2"/>
    <x v="4"/>
    <x v="0"/>
    <x v="9"/>
    <x v="3"/>
    <x v="2"/>
    <n v="335"/>
    <n v="226.59"/>
    <n v="75907.649999999994"/>
    <n v="59122.400000000001"/>
    <n v="16785.25"/>
    <x v="3"/>
  </r>
  <r>
    <x v="0"/>
    <x v="9"/>
    <x v="1"/>
    <x v="8"/>
    <x v="4"/>
    <x v="2"/>
    <n v="163"/>
    <n v="131.44999999999999"/>
    <n v="21426.35"/>
    <n v="14249.37"/>
    <n v="7176.98"/>
    <x v="3"/>
  </r>
  <r>
    <x v="0"/>
    <x v="10"/>
    <x v="0"/>
    <x v="7"/>
    <x v="4"/>
    <x v="0"/>
    <n v="459"/>
    <n v="167.63"/>
    <n v="76942.17"/>
    <n v="63601.78"/>
    <n v="13340.39"/>
    <x v="3"/>
  </r>
  <r>
    <x v="2"/>
    <x v="14"/>
    <x v="0"/>
    <x v="0"/>
    <x v="1"/>
    <x v="1"/>
    <n v="351"/>
    <n v="250.46"/>
    <n v="87911.46"/>
    <n v="65254.07"/>
    <n v="22657.39"/>
    <x v="3"/>
  </r>
  <r>
    <x v="1"/>
    <x v="15"/>
    <x v="0"/>
    <x v="9"/>
    <x v="1"/>
    <x v="1"/>
    <n v="465"/>
    <n v="170.85"/>
    <n v="79445.25"/>
    <n v="60320.61"/>
    <n v="19124.64"/>
    <x v="3"/>
  </r>
  <r>
    <x v="3"/>
    <x v="11"/>
    <x v="1"/>
    <x v="5"/>
    <x v="1"/>
    <x v="2"/>
    <n v="333"/>
    <n v="280.99"/>
    <n v="93569.67"/>
    <n v="64367.11"/>
    <n v="29202.560000000001"/>
    <x v="3"/>
  </r>
  <r>
    <x v="3"/>
    <x v="8"/>
    <x v="0"/>
    <x v="7"/>
    <x v="4"/>
    <x v="1"/>
    <n v="294"/>
    <n v="211.17"/>
    <n v="62083.98"/>
    <n v="40676.949999999997"/>
    <n v="21407.03"/>
    <x v="3"/>
  </r>
  <r>
    <x v="1"/>
    <x v="15"/>
    <x v="0"/>
    <x v="7"/>
    <x v="4"/>
    <x v="1"/>
    <n v="201"/>
    <n v="215.37"/>
    <n v="43289.37"/>
    <n v="26702.51"/>
    <n v="16586.86"/>
    <x v="3"/>
  </r>
  <r>
    <x v="3"/>
    <x v="8"/>
    <x v="1"/>
    <x v="10"/>
    <x v="1"/>
    <x v="0"/>
    <n v="266"/>
    <n v="103.02"/>
    <n v="27403.32"/>
    <n v="21404.89"/>
    <n v="5998.43"/>
    <x v="3"/>
  </r>
  <r>
    <x v="3"/>
    <x v="7"/>
    <x v="0"/>
    <x v="2"/>
    <x v="4"/>
    <x v="1"/>
    <n v="155"/>
    <n v="127.13"/>
    <n v="19705.150000000001"/>
    <n v="12205.44"/>
    <n v="7499.71"/>
    <x v="3"/>
  </r>
  <r>
    <x v="2"/>
    <x v="16"/>
    <x v="0"/>
    <x v="0"/>
    <x v="3"/>
    <x v="0"/>
    <n v="16"/>
    <n v="162.4"/>
    <n v="2598.4"/>
    <n v="1871.91"/>
    <n v="726.49"/>
    <x v="3"/>
  </r>
  <r>
    <x v="0"/>
    <x v="9"/>
    <x v="1"/>
    <x v="6"/>
    <x v="4"/>
    <x v="1"/>
    <n v="45"/>
    <n v="113.54"/>
    <n v="5109.3"/>
    <n v="4248.63"/>
    <n v="860.67"/>
    <x v="3"/>
  </r>
  <r>
    <x v="3"/>
    <x v="8"/>
    <x v="0"/>
    <x v="7"/>
    <x v="4"/>
    <x v="0"/>
    <n v="153"/>
    <n v="129.41"/>
    <n v="19799.73"/>
    <n v="15102.11"/>
    <n v="4697.62"/>
    <x v="3"/>
  </r>
  <r>
    <x v="0"/>
    <x v="0"/>
    <x v="0"/>
    <x v="2"/>
    <x v="1"/>
    <x v="2"/>
    <n v="276"/>
    <n v="69.09"/>
    <n v="19068.84"/>
    <n v="13936.13"/>
    <n v="5132.71"/>
    <x v="3"/>
  </r>
  <r>
    <x v="1"/>
    <x v="15"/>
    <x v="0"/>
    <x v="1"/>
    <x v="3"/>
    <x v="2"/>
    <n v="412"/>
    <n v="122.68"/>
    <n v="50544.160000000003"/>
    <n v="35996.21"/>
    <n v="14547.95"/>
    <x v="3"/>
  </r>
  <r>
    <x v="2"/>
    <x v="3"/>
    <x v="1"/>
    <x v="11"/>
    <x v="2"/>
    <x v="0"/>
    <n v="350"/>
    <n v="186.47"/>
    <n v="65264.5"/>
    <n v="44861.29"/>
    <n v="20403.21"/>
    <x v="3"/>
  </r>
  <r>
    <x v="2"/>
    <x v="12"/>
    <x v="0"/>
    <x v="1"/>
    <x v="3"/>
    <x v="1"/>
    <n v="19"/>
    <n v="149.74"/>
    <n v="2845.06"/>
    <n v="1964.31"/>
    <n v="880.75"/>
    <x v="4"/>
  </r>
  <r>
    <x v="0"/>
    <x v="9"/>
    <x v="1"/>
    <x v="5"/>
    <x v="4"/>
    <x v="0"/>
    <n v="62"/>
    <n v="283.98"/>
    <n v="17606.759999999998"/>
    <n v="14303.94"/>
    <n v="3302.82"/>
    <x v="4"/>
  </r>
  <r>
    <x v="1"/>
    <x v="15"/>
    <x v="1"/>
    <x v="10"/>
    <x v="1"/>
    <x v="0"/>
    <n v="112"/>
    <n v="48.49"/>
    <n v="5430.88"/>
    <n v="4029.09"/>
    <n v="1401.79"/>
    <x v="4"/>
  </r>
  <r>
    <x v="3"/>
    <x v="11"/>
    <x v="1"/>
    <x v="4"/>
    <x v="4"/>
    <x v="1"/>
    <n v="463"/>
    <n v="218.57"/>
    <n v="101197.91"/>
    <n v="66498.53"/>
    <n v="34699.379999999997"/>
    <x v="4"/>
  </r>
  <r>
    <x v="1"/>
    <x v="6"/>
    <x v="0"/>
    <x v="0"/>
    <x v="1"/>
    <x v="1"/>
    <n v="195"/>
    <n v="172.83"/>
    <n v="33701.85"/>
    <n v="24944.93"/>
    <n v="8756.92"/>
    <x v="4"/>
  </r>
  <r>
    <x v="3"/>
    <x v="11"/>
    <x v="1"/>
    <x v="4"/>
    <x v="1"/>
    <x v="2"/>
    <n v="465"/>
    <n v="194.43"/>
    <n v="90409.95"/>
    <n v="63019.48"/>
    <n v="27390.47"/>
    <x v="4"/>
  </r>
  <r>
    <x v="0"/>
    <x v="9"/>
    <x v="0"/>
    <x v="2"/>
    <x v="0"/>
    <x v="2"/>
    <n v="201"/>
    <n v="240.26"/>
    <n v="48292.26"/>
    <n v="34978.76"/>
    <n v="13313.5"/>
    <x v="4"/>
  </r>
  <r>
    <x v="3"/>
    <x v="8"/>
    <x v="1"/>
    <x v="8"/>
    <x v="2"/>
    <x v="2"/>
    <n v="265"/>
    <n v="38.44"/>
    <n v="10186.6"/>
    <n v="7355.34"/>
    <n v="2831.26"/>
    <x v="4"/>
  </r>
  <r>
    <x v="2"/>
    <x v="14"/>
    <x v="1"/>
    <x v="4"/>
    <x v="1"/>
    <x v="2"/>
    <n v="295"/>
    <n v="252.6"/>
    <n v="74517"/>
    <n v="55654.02"/>
    <n v="18862.98"/>
    <x v="4"/>
  </r>
  <r>
    <x v="2"/>
    <x v="14"/>
    <x v="0"/>
    <x v="0"/>
    <x v="0"/>
    <x v="1"/>
    <n v="126"/>
    <n v="181.18"/>
    <n v="22828.68"/>
    <n v="16169.82"/>
    <n v="6658.86"/>
    <x v="4"/>
  </r>
  <r>
    <x v="0"/>
    <x v="0"/>
    <x v="0"/>
    <x v="0"/>
    <x v="2"/>
    <x v="1"/>
    <n v="51"/>
    <n v="92.3"/>
    <n v="4707.3"/>
    <n v="3251.66"/>
    <n v="1455.64"/>
    <x v="4"/>
  </r>
  <r>
    <x v="1"/>
    <x v="15"/>
    <x v="0"/>
    <x v="2"/>
    <x v="2"/>
    <x v="1"/>
    <n v="406"/>
    <n v="241.37"/>
    <n v="97996.22"/>
    <n v="69469.11"/>
    <n v="28527.11"/>
    <x v="4"/>
  </r>
  <r>
    <x v="2"/>
    <x v="14"/>
    <x v="1"/>
    <x v="5"/>
    <x v="0"/>
    <x v="2"/>
    <n v="407"/>
    <n v="214.18"/>
    <n v="87171.26"/>
    <n v="56943.839999999997"/>
    <n v="30227.42"/>
    <x v="4"/>
  </r>
  <r>
    <x v="3"/>
    <x v="8"/>
    <x v="0"/>
    <x v="2"/>
    <x v="3"/>
    <x v="1"/>
    <n v="451"/>
    <n v="74.75"/>
    <n v="33712.25"/>
    <n v="25636.99"/>
    <n v="8075.26"/>
    <x v="4"/>
  </r>
  <r>
    <x v="1"/>
    <x v="1"/>
    <x v="0"/>
    <x v="7"/>
    <x v="0"/>
    <x v="2"/>
    <n v="358"/>
    <n v="23.59"/>
    <n v="8445.2199999999993"/>
    <n v="5650.21"/>
    <n v="2795.01"/>
    <x v="4"/>
  </r>
  <r>
    <x v="0"/>
    <x v="0"/>
    <x v="1"/>
    <x v="11"/>
    <x v="3"/>
    <x v="1"/>
    <n v="435"/>
    <n v="243.38"/>
    <n v="105870.3"/>
    <n v="64741.19"/>
    <n v="41129.11"/>
    <x v="4"/>
  </r>
  <r>
    <x v="1"/>
    <x v="1"/>
    <x v="0"/>
    <x v="9"/>
    <x v="1"/>
    <x v="0"/>
    <n v="412"/>
    <n v="179.08"/>
    <n v="73780.960000000006"/>
    <n v="52041.85"/>
    <n v="21739.11"/>
    <x v="4"/>
  </r>
  <r>
    <x v="2"/>
    <x v="4"/>
    <x v="0"/>
    <x v="7"/>
    <x v="2"/>
    <x v="0"/>
    <n v="383"/>
    <n v="139.28"/>
    <n v="53344.24"/>
    <n v="41668.74"/>
    <n v="11675.5"/>
    <x v="4"/>
  </r>
  <r>
    <x v="1"/>
    <x v="2"/>
    <x v="1"/>
    <x v="11"/>
    <x v="3"/>
    <x v="2"/>
    <n v="140"/>
    <n v="118.26"/>
    <n v="16556.400000000001"/>
    <n v="11054.48"/>
    <n v="5501.92"/>
    <x v="4"/>
  </r>
  <r>
    <x v="3"/>
    <x v="11"/>
    <x v="1"/>
    <x v="11"/>
    <x v="1"/>
    <x v="1"/>
    <n v="333"/>
    <n v="95.62"/>
    <n v="31841.46"/>
    <n v="26105.99"/>
    <n v="5735.47"/>
    <x v="4"/>
  </r>
  <r>
    <x v="0"/>
    <x v="9"/>
    <x v="0"/>
    <x v="9"/>
    <x v="3"/>
    <x v="1"/>
    <n v="75"/>
    <n v="113.06"/>
    <n v="8479.5"/>
    <n v="6749.24"/>
    <n v="1730.26"/>
    <x v="4"/>
  </r>
  <r>
    <x v="1"/>
    <x v="6"/>
    <x v="1"/>
    <x v="5"/>
    <x v="0"/>
    <x v="1"/>
    <n v="412"/>
    <n v="113.77"/>
    <n v="46873.24"/>
    <n v="35715.269999999997"/>
    <n v="11157.97"/>
    <x v="4"/>
  </r>
  <r>
    <x v="1"/>
    <x v="2"/>
    <x v="1"/>
    <x v="5"/>
    <x v="4"/>
    <x v="0"/>
    <n v="269"/>
    <n v="128.06"/>
    <n v="34448.14"/>
    <n v="21237.360000000001"/>
    <n v="13210.78"/>
    <x v="4"/>
  </r>
  <r>
    <x v="3"/>
    <x v="5"/>
    <x v="1"/>
    <x v="10"/>
    <x v="1"/>
    <x v="0"/>
    <n v="131"/>
    <n v="105.42"/>
    <n v="13810.02"/>
    <n v="9909.32"/>
    <n v="3900.7"/>
    <x v="4"/>
  </r>
  <r>
    <x v="0"/>
    <x v="13"/>
    <x v="0"/>
    <x v="2"/>
    <x v="0"/>
    <x v="0"/>
    <n v="48"/>
    <n v="141.87"/>
    <n v="6809.76"/>
    <n v="4963.63"/>
    <n v="1846.13"/>
    <x v="4"/>
  </r>
  <r>
    <x v="3"/>
    <x v="7"/>
    <x v="1"/>
    <x v="11"/>
    <x v="4"/>
    <x v="0"/>
    <n v="324"/>
    <n v="155.32"/>
    <n v="50323.68"/>
    <n v="39078.769999999997"/>
    <n v="11244.91"/>
    <x v="4"/>
  </r>
  <r>
    <x v="3"/>
    <x v="11"/>
    <x v="1"/>
    <x v="8"/>
    <x v="3"/>
    <x v="2"/>
    <n v="291"/>
    <n v="217.59"/>
    <n v="63318.69"/>
    <n v="52380.9"/>
    <n v="10937.79"/>
    <x v="4"/>
  </r>
  <r>
    <x v="0"/>
    <x v="9"/>
    <x v="1"/>
    <x v="5"/>
    <x v="4"/>
    <x v="0"/>
    <n v="96"/>
    <n v="193.44"/>
    <n v="18570.240000000002"/>
    <n v="12873.12"/>
    <n v="5697.12"/>
    <x v="4"/>
  </r>
  <r>
    <x v="3"/>
    <x v="11"/>
    <x v="0"/>
    <x v="1"/>
    <x v="2"/>
    <x v="0"/>
    <n v="103"/>
    <n v="276.33999999999997"/>
    <n v="28463.02"/>
    <n v="23844.39"/>
    <n v="4618.63"/>
    <x v="4"/>
  </r>
  <r>
    <x v="1"/>
    <x v="15"/>
    <x v="1"/>
    <x v="10"/>
    <x v="4"/>
    <x v="1"/>
    <n v="263"/>
    <n v="151.11000000000001"/>
    <n v="39741.93"/>
    <n v="29800.18"/>
    <n v="9941.75"/>
    <x v="4"/>
  </r>
  <r>
    <x v="3"/>
    <x v="11"/>
    <x v="0"/>
    <x v="7"/>
    <x v="2"/>
    <x v="0"/>
    <n v="413"/>
    <n v="88.23"/>
    <n v="36438.99"/>
    <n v="22383.439999999999"/>
    <n v="14055.55"/>
    <x v="4"/>
  </r>
  <r>
    <x v="1"/>
    <x v="15"/>
    <x v="0"/>
    <x v="2"/>
    <x v="4"/>
    <x v="0"/>
    <n v="242"/>
    <n v="73.59"/>
    <n v="17808.78"/>
    <n v="10835.17"/>
    <n v="6973.61"/>
    <x v="4"/>
  </r>
  <r>
    <x v="0"/>
    <x v="10"/>
    <x v="1"/>
    <x v="11"/>
    <x v="2"/>
    <x v="0"/>
    <n v="464"/>
    <n v="11.67"/>
    <n v="5414.88"/>
    <n v="3688.33"/>
    <n v="1726.55"/>
    <x v="5"/>
  </r>
  <r>
    <x v="1"/>
    <x v="1"/>
    <x v="1"/>
    <x v="4"/>
    <x v="1"/>
    <x v="2"/>
    <n v="115"/>
    <n v="187"/>
    <n v="21505"/>
    <n v="16753.21"/>
    <n v="4751.79"/>
    <x v="5"/>
  </r>
  <r>
    <x v="2"/>
    <x v="16"/>
    <x v="0"/>
    <x v="1"/>
    <x v="0"/>
    <x v="1"/>
    <n v="236"/>
    <n v="64.349999999999994"/>
    <n v="15186.6"/>
    <n v="12370.16"/>
    <n v="2816.44"/>
    <x v="5"/>
  </r>
  <r>
    <x v="0"/>
    <x v="13"/>
    <x v="0"/>
    <x v="2"/>
    <x v="0"/>
    <x v="2"/>
    <n v="37"/>
    <n v="112.9"/>
    <n v="4177.3"/>
    <n v="2936.78"/>
    <n v="1240.52"/>
    <x v="5"/>
  </r>
  <r>
    <x v="3"/>
    <x v="7"/>
    <x v="1"/>
    <x v="11"/>
    <x v="1"/>
    <x v="2"/>
    <n v="186"/>
    <n v="236.34"/>
    <n v="43959.24"/>
    <n v="29426.17"/>
    <n v="14533.07"/>
    <x v="5"/>
  </r>
  <r>
    <x v="3"/>
    <x v="8"/>
    <x v="0"/>
    <x v="1"/>
    <x v="0"/>
    <x v="2"/>
    <n v="34"/>
    <n v="203.23"/>
    <n v="6909.82"/>
    <n v="4356.2299999999996"/>
    <n v="2553.59"/>
    <x v="5"/>
  </r>
  <r>
    <x v="1"/>
    <x v="6"/>
    <x v="0"/>
    <x v="2"/>
    <x v="0"/>
    <x v="1"/>
    <n v="459"/>
    <n v="17.079999999999998"/>
    <n v="7839.72"/>
    <n v="6409.16"/>
    <n v="1430.56"/>
    <x v="5"/>
  </r>
  <r>
    <x v="2"/>
    <x v="12"/>
    <x v="1"/>
    <x v="8"/>
    <x v="0"/>
    <x v="0"/>
    <n v="62"/>
    <n v="203.42"/>
    <n v="12612.04"/>
    <n v="9387.09"/>
    <n v="3224.95"/>
    <x v="5"/>
  </r>
  <r>
    <x v="2"/>
    <x v="3"/>
    <x v="1"/>
    <x v="5"/>
    <x v="3"/>
    <x v="2"/>
    <n v="269"/>
    <n v="121.51"/>
    <n v="32686.19"/>
    <n v="23596.71"/>
    <n v="9089.48"/>
    <x v="5"/>
  </r>
  <r>
    <x v="1"/>
    <x v="6"/>
    <x v="0"/>
    <x v="7"/>
    <x v="4"/>
    <x v="0"/>
    <n v="59"/>
    <n v="222.27"/>
    <n v="13113.93"/>
    <n v="10658.92"/>
    <n v="2455.0100000000002"/>
    <x v="5"/>
  </r>
  <r>
    <x v="2"/>
    <x v="4"/>
    <x v="1"/>
    <x v="6"/>
    <x v="2"/>
    <x v="1"/>
    <n v="383"/>
    <n v="212.32"/>
    <n v="81318.559999999998"/>
    <n v="52451.839999999997"/>
    <n v="28866.720000000001"/>
    <x v="5"/>
  </r>
  <r>
    <x v="0"/>
    <x v="0"/>
    <x v="0"/>
    <x v="0"/>
    <x v="2"/>
    <x v="2"/>
    <n v="222"/>
    <n v="67.67"/>
    <n v="15022.74"/>
    <n v="9256.32"/>
    <n v="5766.42"/>
    <x v="5"/>
  </r>
  <r>
    <x v="0"/>
    <x v="13"/>
    <x v="1"/>
    <x v="6"/>
    <x v="2"/>
    <x v="2"/>
    <n v="132"/>
    <n v="228.84"/>
    <n v="30206.880000000001"/>
    <n v="18901.32"/>
    <n v="11305.56"/>
    <x v="5"/>
  </r>
  <r>
    <x v="2"/>
    <x v="12"/>
    <x v="0"/>
    <x v="0"/>
    <x v="2"/>
    <x v="2"/>
    <n v="150"/>
    <n v="184.47"/>
    <n v="27670.5"/>
    <n v="22269.14"/>
    <n v="5401.36"/>
    <x v="5"/>
  </r>
  <r>
    <x v="1"/>
    <x v="1"/>
    <x v="1"/>
    <x v="10"/>
    <x v="1"/>
    <x v="2"/>
    <n v="303"/>
    <n v="269.76"/>
    <n v="81737.279999999999"/>
    <n v="60961.02"/>
    <n v="20776.259999999998"/>
    <x v="5"/>
  </r>
  <r>
    <x v="0"/>
    <x v="9"/>
    <x v="1"/>
    <x v="3"/>
    <x v="0"/>
    <x v="1"/>
    <n v="236"/>
    <n v="203.39"/>
    <n v="48000.04"/>
    <n v="38679.75"/>
    <n v="9320.2900000000009"/>
    <x v="5"/>
  </r>
  <r>
    <x v="2"/>
    <x v="4"/>
    <x v="1"/>
    <x v="4"/>
    <x v="0"/>
    <x v="2"/>
    <n v="113"/>
    <n v="283.39"/>
    <n v="32023.07"/>
    <n v="25499.89"/>
    <n v="6523.18"/>
    <x v="5"/>
  </r>
  <r>
    <x v="2"/>
    <x v="3"/>
    <x v="1"/>
    <x v="10"/>
    <x v="1"/>
    <x v="0"/>
    <n v="161"/>
    <n v="270.06"/>
    <n v="43479.66"/>
    <n v="26959.93"/>
    <n v="16519.73"/>
    <x v="5"/>
  </r>
  <r>
    <x v="3"/>
    <x v="5"/>
    <x v="1"/>
    <x v="11"/>
    <x v="0"/>
    <x v="0"/>
    <n v="464"/>
    <n v="232.59"/>
    <n v="107921.76"/>
    <n v="75990.53"/>
    <n v="31931.23"/>
    <x v="5"/>
  </r>
  <r>
    <x v="2"/>
    <x v="3"/>
    <x v="0"/>
    <x v="7"/>
    <x v="4"/>
    <x v="0"/>
    <n v="136"/>
    <n v="89.67"/>
    <n v="12195.12"/>
    <n v="8520.0499999999993"/>
    <n v="3675.07"/>
    <x v="5"/>
  </r>
  <r>
    <x v="2"/>
    <x v="16"/>
    <x v="1"/>
    <x v="5"/>
    <x v="1"/>
    <x v="2"/>
    <n v="406"/>
    <n v="130.58000000000001"/>
    <n v="53015.48"/>
    <n v="41347.49"/>
    <n v="11667.99"/>
    <x v="5"/>
  </r>
  <r>
    <x v="1"/>
    <x v="1"/>
    <x v="0"/>
    <x v="9"/>
    <x v="3"/>
    <x v="2"/>
    <n v="483"/>
    <n v="220.18"/>
    <n v="106346.94"/>
    <n v="65545.78"/>
    <n v="40801.160000000003"/>
    <x v="5"/>
  </r>
  <r>
    <x v="1"/>
    <x v="2"/>
    <x v="1"/>
    <x v="10"/>
    <x v="3"/>
    <x v="1"/>
    <n v="119"/>
    <n v="270.5"/>
    <n v="32189.5"/>
    <n v="25987.65"/>
    <n v="6201.85"/>
    <x v="5"/>
  </r>
  <r>
    <x v="3"/>
    <x v="5"/>
    <x v="1"/>
    <x v="11"/>
    <x v="1"/>
    <x v="2"/>
    <n v="184"/>
    <n v="276.07"/>
    <n v="50796.88"/>
    <n v="34167.31"/>
    <n v="16629.57"/>
    <x v="5"/>
  </r>
  <r>
    <x v="1"/>
    <x v="15"/>
    <x v="1"/>
    <x v="3"/>
    <x v="1"/>
    <x v="2"/>
    <n v="447"/>
    <n v="125.37"/>
    <n v="56040.39"/>
    <n v="46506.95"/>
    <n v="9533.44"/>
    <x v="5"/>
  </r>
  <r>
    <x v="3"/>
    <x v="5"/>
    <x v="0"/>
    <x v="7"/>
    <x v="0"/>
    <x v="0"/>
    <n v="364"/>
    <n v="142.72999999999999"/>
    <n v="51953.72"/>
    <n v="33885.29"/>
    <n v="18068.43"/>
    <x v="5"/>
  </r>
  <r>
    <x v="1"/>
    <x v="15"/>
    <x v="0"/>
    <x v="2"/>
    <x v="4"/>
    <x v="2"/>
    <n v="190"/>
    <n v="276.89"/>
    <n v="52609.1"/>
    <n v="38414.75"/>
    <n v="14194.35"/>
    <x v="5"/>
  </r>
  <r>
    <x v="0"/>
    <x v="0"/>
    <x v="1"/>
    <x v="5"/>
    <x v="3"/>
    <x v="0"/>
    <n v="338"/>
    <n v="27.25"/>
    <n v="9210.5"/>
    <n v="5533.59"/>
    <n v="3676.91"/>
    <x v="5"/>
  </r>
  <r>
    <x v="1"/>
    <x v="6"/>
    <x v="0"/>
    <x v="1"/>
    <x v="1"/>
    <x v="2"/>
    <n v="135"/>
    <n v="109.94"/>
    <n v="14841.9"/>
    <n v="9019.64"/>
    <n v="5822.26"/>
    <x v="5"/>
  </r>
  <r>
    <x v="2"/>
    <x v="16"/>
    <x v="1"/>
    <x v="5"/>
    <x v="1"/>
    <x v="0"/>
    <n v="329"/>
    <n v="174.48"/>
    <n v="57403.92"/>
    <n v="38515.57"/>
    <n v="18888.349999999999"/>
    <x v="5"/>
  </r>
  <r>
    <x v="0"/>
    <x v="10"/>
    <x v="1"/>
    <x v="5"/>
    <x v="2"/>
    <x v="2"/>
    <n v="106"/>
    <n v="157.72999999999999"/>
    <n v="16719.38"/>
    <n v="14197.67"/>
    <n v="2521.71"/>
    <x v="5"/>
  </r>
  <r>
    <x v="2"/>
    <x v="3"/>
    <x v="1"/>
    <x v="11"/>
    <x v="2"/>
    <x v="0"/>
    <n v="480"/>
    <n v="204.78"/>
    <n v="98294.399999999994"/>
    <n v="73283.61"/>
    <n v="25010.79"/>
    <x v="6"/>
  </r>
  <r>
    <x v="0"/>
    <x v="9"/>
    <x v="0"/>
    <x v="7"/>
    <x v="0"/>
    <x v="0"/>
    <n v="426"/>
    <n v="249.11"/>
    <n v="106120.86"/>
    <n v="73165.06"/>
    <n v="32955.800000000003"/>
    <x v="6"/>
  </r>
  <r>
    <x v="0"/>
    <x v="10"/>
    <x v="1"/>
    <x v="6"/>
    <x v="1"/>
    <x v="1"/>
    <n v="200"/>
    <n v="44.79"/>
    <n v="8958"/>
    <n v="7427.95"/>
    <n v="1530.05"/>
    <x v="6"/>
  </r>
  <r>
    <x v="0"/>
    <x v="13"/>
    <x v="0"/>
    <x v="1"/>
    <x v="0"/>
    <x v="0"/>
    <n v="361"/>
    <n v="167.32"/>
    <n v="60402.52"/>
    <n v="43690.3"/>
    <n v="16712.22"/>
    <x v="6"/>
  </r>
  <r>
    <x v="1"/>
    <x v="2"/>
    <x v="1"/>
    <x v="4"/>
    <x v="4"/>
    <x v="2"/>
    <n v="219"/>
    <n v="149.44"/>
    <n v="32727.360000000001"/>
    <n v="27151.07"/>
    <n v="5576.29"/>
    <x v="6"/>
  </r>
  <r>
    <x v="1"/>
    <x v="15"/>
    <x v="1"/>
    <x v="6"/>
    <x v="0"/>
    <x v="0"/>
    <n v="17"/>
    <n v="269.26"/>
    <n v="4577.42"/>
    <n v="3495.19"/>
    <n v="1082.23"/>
    <x v="6"/>
  </r>
  <r>
    <x v="3"/>
    <x v="7"/>
    <x v="0"/>
    <x v="0"/>
    <x v="4"/>
    <x v="1"/>
    <n v="236"/>
    <n v="75.09"/>
    <n v="17721.240000000002"/>
    <n v="11624.33"/>
    <n v="6096.91"/>
    <x v="6"/>
  </r>
  <r>
    <x v="2"/>
    <x v="3"/>
    <x v="1"/>
    <x v="4"/>
    <x v="1"/>
    <x v="1"/>
    <n v="439"/>
    <n v="206.44"/>
    <n v="90627.16"/>
    <n v="59701.48"/>
    <n v="30925.68"/>
    <x v="6"/>
  </r>
  <r>
    <x v="0"/>
    <x v="9"/>
    <x v="0"/>
    <x v="0"/>
    <x v="0"/>
    <x v="1"/>
    <n v="320"/>
    <n v="72.05"/>
    <n v="23056"/>
    <n v="13908.7"/>
    <n v="9147.2999999999993"/>
    <x v="6"/>
  </r>
  <r>
    <x v="0"/>
    <x v="0"/>
    <x v="0"/>
    <x v="1"/>
    <x v="3"/>
    <x v="2"/>
    <n v="16"/>
    <n v="209.28"/>
    <n v="3348.48"/>
    <n v="2715.99"/>
    <n v="632.49"/>
    <x v="6"/>
  </r>
  <r>
    <x v="0"/>
    <x v="10"/>
    <x v="0"/>
    <x v="9"/>
    <x v="3"/>
    <x v="0"/>
    <n v="23"/>
    <n v="219.79"/>
    <n v="5055.17"/>
    <n v="3164.71"/>
    <n v="1890.46"/>
    <x v="6"/>
  </r>
  <r>
    <x v="0"/>
    <x v="10"/>
    <x v="0"/>
    <x v="7"/>
    <x v="0"/>
    <x v="2"/>
    <n v="68"/>
    <n v="112.96"/>
    <n v="7681.28"/>
    <n v="5949.75"/>
    <n v="1731.53"/>
    <x v="6"/>
  </r>
  <r>
    <x v="0"/>
    <x v="9"/>
    <x v="0"/>
    <x v="7"/>
    <x v="4"/>
    <x v="2"/>
    <n v="464"/>
    <n v="222.75"/>
    <n v="103356"/>
    <n v="81891.67"/>
    <n v="21464.33"/>
    <x v="6"/>
  </r>
  <r>
    <x v="3"/>
    <x v="11"/>
    <x v="1"/>
    <x v="6"/>
    <x v="4"/>
    <x v="0"/>
    <n v="459"/>
    <n v="105.34"/>
    <n v="48351.06"/>
    <n v="36667.040000000001"/>
    <n v="11684.02"/>
    <x v="6"/>
  </r>
  <r>
    <x v="2"/>
    <x v="12"/>
    <x v="0"/>
    <x v="9"/>
    <x v="0"/>
    <x v="0"/>
    <n v="254"/>
    <n v="93.88"/>
    <n v="23845.52"/>
    <n v="19673.05"/>
    <n v="4172.47"/>
    <x v="6"/>
  </r>
  <r>
    <x v="2"/>
    <x v="12"/>
    <x v="1"/>
    <x v="3"/>
    <x v="3"/>
    <x v="0"/>
    <n v="75"/>
    <n v="54.6"/>
    <n v="4095"/>
    <n v="2685.93"/>
    <n v="1409.07"/>
    <x v="6"/>
  </r>
  <r>
    <x v="1"/>
    <x v="15"/>
    <x v="0"/>
    <x v="7"/>
    <x v="1"/>
    <x v="1"/>
    <n v="12"/>
    <n v="101.53"/>
    <n v="1218.3599999999999"/>
    <n v="927.43"/>
    <n v="290.93"/>
    <x v="6"/>
  </r>
  <r>
    <x v="2"/>
    <x v="4"/>
    <x v="0"/>
    <x v="1"/>
    <x v="3"/>
    <x v="2"/>
    <n v="468"/>
    <n v="297.45999999999998"/>
    <n v="139211.28"/>
    <n v="87995.25"/>
    <n v="51216.03"/>
    <x v="6"/>
  </r>
  <r>
    <x v="3"/>
    <x v="7"/>
    <x v="0"/>
    <x v="7"/>
    <x v="4"/>
    <x v="1"/>
    <n v="204"/>
    <n v="258.69"/>
    <n v="52772.76"/>
    <n v="43757"/>
    <n v="9015.76"/>
    <x v="6"/>
  </r>
  <r>
    <x v="3"/>
    <x v="5"/>
    <x v="0"/>
    <x v="0"/>
    <x v="3"/>
    <x v="0"/>
    <n v="240"/>
    <n v="272.13"/>
    <n v="65311.199999999997"/>
    <n v="54035.06"/>
    <n v="11276.14"/>
    <x v="6"/>
  </r>
  <r>
    <x v="3"/>
    <x v="7"/>
    <x v="1"/>
    <x v="11"/>
    <x v="0"/>
    <x v="0"/>
    <n v="468"/>
    <n v="269.5"/>
    <n v="126126"/>
    <n v="92942.01"/>
    <n v="33183.99"/>
    <x v="6"/>
  </r>
  <r>
    <x v="3"/>
    <x v="5"/>
    <x v="1"/>
    <x v="6"/>
    <x v="1"/>
    <x v="0"/>
    <n v="490"/>
    <n v="290.44"/>
    <n v="142315.6"/>
    <n v="87227.68"/>
    <n v="55087.92"/>
    <x v="6"/>
  </r>
  <r>
    <x v="3"/>
    <x v="8"/>
    <x v="0"/>
    <x v="7"/>
    <x v="2"/>
    <x v="0"/>
    <n v="192"/>
    <n v="22.66"/>
    <n v="4350.72"/>
    <n v="2786.28"/>
    <n v="1564.44"/>
    <x v="6"/>
  </r>
  <r>
    <x v="2"/>
    <x v="14"/>
    <x v="1"/>
    <x v="4"/>
    <x v="3"/>
    <x v="2"/>
    <n v="11"/>
    <n v="274.08"/>
    <n v="3014.88"/>
    <n v="2279.8200000000002"/>
    <n v="735.06"/>
    <x v="6"/>
  </r>
  <r>
    <x v="0"/>
    <x v="0"/>
    <x v="1"/>
    <x v="11"/>
    <x v="2"/>
    <x v="2"/>
    <n v="406"/>
    <n v="42.08"/>
    <n v="17084.48"/>
    <n v="13865.99"/>
    <n v="3218.49"/>
    <x v="6"/>
  </r>
  <r>
    <x v="1"/>
    <x v="6"/>
    <x v="0"/>
    <x v="2"/>
    <x v="3"/>
    <x v="0"/>
    <n v="266"/>
    <n v="65.56"/>
    <n v="17438.96"/>
    <n v="14466.66"/>
    <n v="2972.3"/>
    <x v="6"/>
  </r>
  <r>
    <x v="1"/>
    <x v="1"/>
    <x v="0"/>
    <x v="1"/>
    <x v="0"/>
    <x v="0"/>
    <n v="234"/>
    <n v="35.479999999999997"/>
    <n v="8302.32"/>
    <n v="5709.15"/>
    <n v="2593.17"/>
    <x v="6"/>
  </r>
  <r>
    <x v="0"/>
    <x v="13"/>
    <x v="0"/>
    <x v="2"/>
    <x v="1"/>
    <x v="2"/>
    <n v="465"/>
    <n v="31.07"/>
    <n v="14447.55"/>
    <n v="8946.93"/>
    <n v="5500.62"/>
    <x v="6"/>
  </r>
  <r>
    <x v="3"/>
    <x v="7"/>
    <x v="1"/>
    <x v="10"/>
    <x v="2"/>
    <x v="0"/>
    <n v="329"/>
    <n v="176.6"/>
    <n v="58101.4"/>
    <n v="47088.7"/>
    <n v="11012.7"/>
    <x v="6"/>
  </r>
  <r>
    <x v="0"/>
    <x v="13"/>
    <x v="1"/>
    <x v="6"/>
    <x v="2"/>
    <x v="2"/>
    <n v="113"/>
    <n v="136.1"/>
    <n v="15379.3"/>
    <n v="10174.950000000001"/>
    <n v="5204.3500000000004"/>
    <x v="6"/>
  </r>
  <r>
    <x v="3"/>
    <x v="5"/>
    <x v="0"/>
    <x v="2"/>
    <x v="1"/>
    <x v="0"/>
    <n v="111"/>
    <n v="137.07"/>
    <n v="15214.77"/>
    <n v="12557.42"/>
    <n v="2657.35"/>
    <x v="6"/>
  </r>
  <r>
    <x v="3"/>
    <x v="5"/>
    <x v="1"/>
    <x v="8"/>
    <x v="4"/>
    <x v="2"/>
    <n v="100"/>
    <n v="130.53"/>
    <n v="13053"/>
    <n v="10596.66"/>
    <n v="2456.34"/>
    <x v="7"/>
  </r>
  <r>
    <x v="1"/>
    <x v="2"/>
    <x v="1"/>
    <x v="4"/>
    <x v="1"/>
    <x v="1"/>
    <n v="10"/>
    <n v="286.67"/>
    <n v="2866.7"/>
    <n v="2154.4499999999998"/>
    <n v="712.25"/>
    <x v="7"/>
  </r>
  <r>
    <x v="1"/>
    <x v="1"/>
    <x v="0"/>
    <x v="7"/>
    <x v="2"/>
    <x v="1"/>
    <n v="273"/>
    <n v="11.11"/>
    <n v="3033.03"/>
    <n v="2006.97"/>
    <n v="1026.06"/>
    <x v="7"/>
  </r>
  <r>
    <x v="2"/>
    <x v="14"/>
    <x v="1"/>
    <x v="10"/>
    <x v="3"/>
    <x v="2"/>
    <n v="173"/>
    <n v="273.01"/>
    <n v="47230.73"/>
    <n v="29901.45"/>
    <n v="17329.28"/>
    <x v="7"/>
  </r>
  <r>
    <x v="1"/>
    <x v="6"/>
    <x v="0"/>
    <x v="2"/>
    <x v="2"/>
    <x v="2"/>
    <n v="171"/>
    <n v="62.7"/>
    <n v="10721.7"/>
    <n v="7600.37"/>
    <n v="3121.33"/>
    <x v="7"/>
  </r>
  <r>
    <x v="1"/>
    <x v="2"/>
    <x v="1"/>
    <x v="3"/>
    <x v="1"/>
    <x v="0"/>
    <n v="434"/>
    <n v="43.14"/>
    <n v="18722.759999999998"/>
    <n v="13173.82"/>
    <n v="5548.94"/>
    <x v="7"/>
  </r>
  <r>
    <x v="1"/>
    <x v="15"/>
    <x v="1"/>
    <x v="3"/>
    <x v="4"/>
    <x v="2"/>
    <n v="319"/>
    <n v="148.05000000000001"/>
    <n v="47227.95"/>
    <n v="36172.730000000003"/>
    <n v="11055.22"/>
    <x v="7"/>
  </r>
  <r>
    <x v="2"/>
    <x v="14"/>
    <x v="1"/>
    <x v="4"/>
    <x v="3"/>
    <x v="1"/>
    <n v="303"/>
    <n v="114.51"/>
    <n v="34696.53"/>
    <n v="21412.14"/>
    <n v="13284.39"/>
    <x v="7"/>
  </r>
  <r>
    <x v="3"/>
    <x v="8"/>
    <x v="1"/>
    <x v="4"/>
    <x v="3"/>
    <x v="1"/>
    <n v="14"/>
    <n v="154.22"/>
    <n v="2159.08"/>
    <n v="1419.73"/>
    <n v="739.35"/>
    <x v="7"/>
  </r>
  <r>
    <x v="3"/>
    <x v="8"/>
    <x v="1"/>
    <x v="8"/>
    <x v="2"/>
    <x v="0"/>
    <n v="316"/>
    <n v="140.6"/>
    <n v="44429.599999999999"/>
    <n v="34975.269999999997"/>
    <n v="9454.33"/>
    <x v="7"/>
  </r>
  <r>
    <x v="1"/>
    <x v="6"/>
    <x v="1"/>
    <x v="5"/>
    <x v="2"/>
    <x v="0"/>
    <n v="445"/>
    <n v="155.74"/>
    <n v="69304.3"/>
    <n v="48489.85"/>
    <n v="20814.45"/>
    <x v="7"/>
  </r>
  <r>
    <x v="3"/>
    <x v="5"/>
    <x v="0"/>
    <x v="1"/>
    <x v="4"/>
    <x v="1"/>
    <n v="217"/>
    <n v="167.54"/>
    <n v="36356.18"/>
    <n v="23261.1"/>
    <n v="13095.08"/>
    <x v="7"/>
  </r>
  <r>
    <x v="1"/>
    <x v="1"/>
    <x v="1"/>
    <x v="10"/>
    <x v="3"/>
    <x v="2"/>
    <n v="151"/>
    <n v="183.52"/>
    <n v="27711.52"/>
    <n v="18686.14"/>
    <n v="9025.3799999999992"/>
    <x v="7"/>
  </r>
  <r>
    <x v="1"/>
    <x v="6"/>
    <x v="1"/>
    <x v="5"/>
    <x v="2"/>
    <x v="0"/>
    <n v="136"/>
    <n v="25.76"/>
    <n v="3503.36"/>
    <n v="2757.71"/>
    <n v="745.65"/>
    <x v="7"/>
  </r>
  <r>
    <x v="3"/>
    <x v="8"/>
    <x v="1"/>
    <x v="8"/>
    <x v="0"/>
    <x v="0"/>
    <n v="413"/>
    <n v="241"/>
    <n v="99533"/>
    <n v="71701.64"/>
    <n v="27831.360000000001"/>
    <x v="7"/>
  </r>
  <r>
    <x v="1"/>
    <x v="15"/>
    <x v="1"/>
    <x v="4"/>
    <x v="2"/>
    <x v="2"/>
    <n v="98"/>
    <n v="181.95"/>
    <n v="17831.099999999999"/>
    <n v="13284.55"/>
    <n v="4546.55"/>
    <x v="7"/>
  </r>
  <r>
    <x v="0"/>
    <x v="10"/>
    <x v="0"/>
    <x v="7"/>
    <x v="4"/>
    <x v="0"/>
    <n v="16"/>
    <n v="265.67"/>
    <n v="4250.72"/>
    <n v="3572"/>
    <n v="678.72"/>
    <x v="7"/>
  </r>
  <r>
    <x v="3"/>
    <x v="11"/>
    <x v="0"/>
    <x v="0"/>
    <x v="2"/>
    <x v="0"/>
    <n v="463"/>
    <n v="84.54"/>
    <n v="39142.019999999997"/>
    <n v="31195.23"/>
    <n v="7946.79"/>
    <x v="7"/>
  </r>
  <r>
    <x v="0"/>
    <x v="9"/>
    <x v="1"/>
    <x v="6"/>
    <x v="2"/>
    <x v="2"/>
    <n v="290"/>
    <n v="199.86"/>
    <n v="57959.4"/>
    <n v="40282.86"/>
    <n v="17676.54"/>
    <x v="7"/>
  </r>
  <r>
    <x v="3"/>
    <x v="8"/>
    <x v="0"/>
    <x v="9"/>
    <x v="3"/>
    <x v="1"/>
    <n v="434"/>
    <n v="285.63"/>
    <n v="123963.42"/>
    <n v="92403.02"/>
    <n v="31560.400000000001"/>
    <x v="7"/>
  </r>
  <r>
    <x v="2"/>
    <x v="3"/>
    <x v="0"/>
    <x v="9"/>
    <x v="1"/>
    <x v="1"/>
    <n v="50"/>
    <n v="21.29"/>
    <n v="1064.5"/>
    <n v="648.29"/>
    <n v="416.21"/>
    <x v="7"/>
  </r>
  <r>
    <x v="2"/>
    <x v="14"/>
    <x v="1"/>
    <x v="5"/>
    <x v="2"/>
    <x v="1"/>
    <n v="312"/>
    <n v="68.27"/>
    <n v="21300.240000000002"/>
    <n v="15633.46"/>
    <n v="5666.78"/>
    <x v="7"/>
  </r>
  <r>
    <x v="1"/>
    <x v="15"/>
    <x v="0"/>
    <x v="7"/>
    <x v="2"/>
    <x v="2"/>
    <n v="149"/>
    <n v="299.85000000000002"/>
    <n v="44677.65"/>
    <n v="27977.23"/>
    <n v="16700.419999999998"/>
    <x v="7"/>
  </r>
  <r>
    <x v="1"/>
    <x v="1"/>
    <x v="1"/>
    <x v="8"/>
    <x v="0"/>
    <x v="0"/>
    <n v="499"/>
    <n v="196.92"/>
    <n v="98263.08"/>
    <n v="74929.710000000006"/>
    <n v="23333.37"/>
    <x v="7"/>
  </r>
  <r>
    <x v="2"/>
    <x v="3"/>
    <x v="0"/>
    <x v="1"/>
    <x v="2"/>
    <x v="2"/>
    <n v="478"/>
    <n v="127.85"/>
    <n v="61112.3"/>
    <n v="41617.32"/>
    <n v="19494.98"/>
    <x v="7"/>
  </r>
  <r>
    <x v="1"/>
    <x v="2"/>
    <x v="0"/>
    <x v="7"/>
    <x v="1"/>
    <x v="0"/>
    <n v="71"/>
    <n v="298.94"/>
    <n v="21224.74"/>
    <n v="17496.810000000001"/>
    <n v="3727.93"/>
    <x v="7"/>
  </r>
  <r>
    <x v="3"/>
    <x v="11"/>
    <x v="0"/>
    <x v="7"/>
    <x v="1"/>
    <x v="0"/>
    <n v="46"/>
    <n v="39.729999999999997"/>
    <n v="1827.58"/>
    <n v="1524.76"/>
    <n v="302.82"/>
    <x v="7"/>
  </r>
  <r>
    <x v="0"/>
    <x v="13"/>
    <x v="1"/>
    <x v="4"/>
    <x v="1"/>
    <x v="1"/>
    <n v="251"/>
    <n v="69.36"/>
    <n v="17409.36"/>
    <n v="13018.42"/>
    <n v="4390.9399999999996"/>
    <x v="7"/>
  </r>
  <r>
    <x v="3"/>
    <x v="11"/>
    <x v="1"/>
    <x v="10"/>
    <x v="0"/>
    <x v="0"/>
    <n v="463"/>
    <n v="102.25"/>
    <n v="47341.75"/>
    <n v="38659.730000000003"/>
    <n v="8682.02"/>
    <x v="7"/>
  </r>
  <r>
    <x v="1"/>
    <x v="15"/>
    <x v="1"/>
    <x v="10"/>
    <x v="3"/>
    <x v="2"/>
    <n v="296"/>
    <n v="222.87"/>
    <n v="65969.52"/>
    <n v="52158.74"/>
    <n v="13810.78"/>
    <x v="7"/>
  </r>
  <r>
    <x v="2"/>
    <x v="3"/>
    <x v="1"/>
    <x v="3"/>
    <x v="2"/>
    <x v="2"/>
    <n v="403"/>
    <n v="247.78"/>
    <n v="99855.34"/>
    <n v="65620.56"/>
    <n v="34234.78"/>
    <x v="7"/>
  </r>
  <r>
    <x v="1"/>
    <x v="1"/>
    <x v="0"/>
    <x v="9"/>
    <x v="4"/>
    <x v="2"/>
    <n v="130"/>
    <n v="114.47"/>
    <n v="14881.1"/>
    <n v="9934.6"/>
    <n v="4946.5"/>
    <x v="7"/>
  </r>
  <r>
    <x v="0"/>
    <x v="0"/>
    <x v="0"/>
    <x v="1"/>
    <x v="3"/>
    <x v="2"/>
    <n v="219"/>
    <n v="55.81"/>
    <n v="12222.39"/>
    <n v="9459.82"/>
    <n v="2762.57"/>
    <x v="7"/>
  </r>
  <r>
    <x v="2"/>
    <x v="4"/>
    <x v="1"/>
    <x v="4"/>
    <x v="1"/>
    <x v="1"/>
    <n v="498"/>
    <n v="283.77999999999997"/>
    <n v="141322.44"/>
    <n v="86186.44"/>
    <n v="55136"/>
    <x v="7"/>
  </r>
  <r>
    <x v="0"/>
    <x v="13"/>
    <x v="1"/>
    <x v="4"/>
    <x v="4"/>
    <x v="1"/>
    <n v="212"/>
    <n v="175.77"/>
    <n v="37263.24"/>
    <n v="24966.18"/>
    <n v="12297.06"/>
    <x v="7"/>
  </r>
  <r>
    <x v="1"/>
    <x v="2"/>
    <x v="0"/>
    <x v="0"/>
    <x v="0"/>
    <x v="2"/>
    <n v="48"/>
    <n v="12.75"/>
    <n v="612"/>
    <n v="375.26"/>
    <n v="236.74"/>
    <x v="7"/>
  </r>
  <r>
    <x v="0"/>
    <x v="9"/>
    <x v="0"/>
    <x v="7"/>
    <x v="2"/>
    <x v="2"/>
    <n v="76"/>
    <n v="198.16"/>
    <n v="15060.16"/>
    <n v="10841.74"/>
    <n v="4218.42"/>
    <x v="8"/>
  </r>
  <r>
    <x v="2"/>
    <x v="4"/>
    <x v="1"/>
    <x v="5"/>
    <x v="4"/>
    <x v="2"/>
    <n v="356"/>
    <n v="294.19"/>
    <n v="104731.64"/>
    <n v="78598"/>
    <n v="26133.64"/>
    <x v="8"/>
  </r>
  <r>
    <x v="2"/>
    <x v="16"/>
    <x v="1"/>
    <x v="8"/>
    <x v="1"/>
    <x v="1"/>
    <n v="169"/>
    <n v="15.33"/>
    <n v="2590.77"/>
    <n v="1866.88"/>
    <n v="723.89"/>
    <x v="8"/>
  </r>
  <r>
    <x v="1"/>
    <x v="1"/>
    <x v="1"/>
    <x v="5"/>
    <x v="2"/>
    <x v="2"/>
    <n v="256"/>
    <n v="47.65"/>
    <n v="12198.4"/>
    <n v="9413.69"/>
    <n v="2784.71"/>
    <x v="8"/>
  </r>
  <r>
    <x v="1"/>
    <x v="15"/>
    <x v="1"/>
    <x v="3"/>
    <x v="0"/>
    <x v="1"/>
    <n v="113"/>
    <n v="262.92"/>
    <n v="29709.96"/>
    <n v="24749.279999999999"/>
    <n v="4960.68"/>
    <x v="8"/>
  </r>
  <r>
    <x v="1"/>
    <x v="1"/>
    <x v="1"/>
    <x v="10"/>
    <x v="3"/>
    <x v="0"/>
    <n v="316"/>
    <n v="16.84"/>
    <n v="5321.44"/>
    <n v="4388.2700000000004"/>
    <n v="933.17"/>
    <x v="8"/>
  </r>
  <r>
    <x v="2"/>
    <x v="3"/>
    <x v="0"/>
    <x v="9"/>
    <x v="3"/>
    <x v="0"/>
    <n v="490"/>
    <n v="169.17"/>
    <n v="82893.3"/>
    <n v="55696.69"/>
    <n v="27196.61"/>
    <x v="8"/>
  </r>
  <r>
    <x v="2"/>
    <x v="3"/>
    <x v="1"/>
    <x v="11"/>
    <x v="4"/>
    <x v="1"/>
    <n v="192"/>
    <n v="130.68"/>
    <n v="25090.560000000001"/>
    <n v="18073.63"/>
    <n v="7016.93"/>
    <x v="8"/>
  </r>
  <r>
    <x v="2"/>
    <x v="4"/>
    <x v="0"/>
    <x v="0"/>
    <x v="4"/>
    <x v="0"/>
    <n v="210"/>
    <n v="40.56"/>
    <n v="8517.6"/>
    <n v="6775.38"/>
    <n v="1742.22"/>
    <x v="8"/>
  </r>
  <r>
    <x v="2"/>
    <x v="16"/>
    <x v="1"/>
    <x v="8"/>
    <x v="1"/>
    <x v="2"/>
    <n v="122"/>
    <n v="30.59"/>
    <n v="3731.98"/>
    <n v="2314"/>
    <n v="1417.98"/>
    <x v="8"/>
  </r>
  <r>
    <x v="0"/>
    <x v="10"/>
    <x v="0"/>
    <x v="9"/>
    <x v="0"/>
    <x v="0"/>
    <n v="14"/>
    <n v="110.07"/>
    <n v="1540.98"/>
    <n v="1058.51"/>
    <n v="482.47"/>
    <x v="8"/>
  </r>
  <r>
    <x v="3"/>
    <x v="7"/>
    <x v="1"/>
    <x v="6"/>
    <x v="3"/>
    <x v="0"/>
    <n v="123"/>
    <n v="80.8"/>
    <n v="9938.4"/>
    <n v="8027.44"/>
    <n v="1910.96"/>
    <x v="8"/>
  </r>
  <r>
    <x v="2"/>
    <x v="14"/>
    <x v="1"/>
    <x v="10"/>
    <x v="4"/>
    <x v="0"/>
    <n v="345"/>
    <n v="197.77"/>
    <n v="68230.649999999994"/>
    <n v="56256.69"/>
    <n v="11973.96"/>
    <x v="8"/>
  </r>
  <r>
    <x v="3"/>
    <x v="7"/>
    <x v="1"/>
    <x v="10"/>
    <x v="1"/>
    <x v="1"/>
    <n v="337"/>
    <n v="47.37"/>
    <n v="15963.69"/>
    <n v="11225.51"/>
    <n v="4738.18"/>
    <x v="8"/>
  </r>
  <r>
    <x v="3"/>
    <x v="11"/>
    <x v="0"/>
    <x v="2"/>
    <x v="0"/>
    <x v="0"/>
    <n v="169"/>
    <n v="151.47999999999999"/>
    <n v="25600.12"/>
    <n v="16062.39"/>
    <n v="9537.73"/>
    <x v="8"/>
  </r>
  <r>
    <x v="1"/>
    <x v="1"/>
    <x v="1"/>
    <x v="8"/>
    <x v="3"/>
    <x v="2"/>
    <n v="42"/>
    <n v="92.87"/>
    <n v="3900.54"/>
    <n v="2762.33"/>
    <n v="1138.21"/>
    <x v="8"/>
  </r>
  <r>
    <x v="0"/>
    <x v="10"/>
    <x v="1"/>
    <x v="5"/>
    <x v="1"/>
    <x v="2"/>
    <n v="24"/>
    <n v="184.56"/>
    <n v="4429.4399999999996"/>
    <n v="3646.01"/>
    <n v="783.43"/>
    <x v="8"/>
  </r>
  <r>
    <x v="3"/>
    <x v="7"/>
    <x v="0"/>
    <x v="1"/>
    <x v="2"/>
    <x v="1"/>
    <n v="78"/>
    <n v="123.63"/>
    <n v="9643.14"/>
    <n v="7103.86"/>
    <n v="2539.2800000000002"/>
    <x v="8"/>
  </r>
  <r>
    <x v="2"/>
    <x v="16"/>
    <x v="0"/>
    <x v="1"/>
    <x v="1"/>
    <x v="1"/>
    <n v="90"/>
    <n v="27.84"/>
    <n v="2505.6"/>
    <n v="2056.41"/>
    <n v="449.19"/>
    <x v="8"/>
  </r>
  <r>
    <x v="3"/>
    <x v="5"/>
    <x v="0"/>
    <x v="7"/>
    <x v="0"/>
    <x v="2"/>
    <n v="251"/>
    <n v="289.88"/>
    <n v="72759.88"/>
    <n v="43745.79"/>
    <n v="29014.09"/>
    <x v="8"/>
  </r>
  <r>
    <x v="1"/>
    <x v="15"/>
    <x v="1"/>
    <x v="6"/>
    <x v="2"/>
    <x v="2"/>
    <n v="59"/>
    <n v="57.94"/>
    <n v="3418.46"/>
    <n v="2649.52"/>
    <n v="768.94"/>
    <x v="8"/>
  </r>
  <r>
    <x v="1"/>
    <x v="1"/>
    <x v="0"/>
    <x v="1"/>
    <x v="1"/>
    <x v="2"/>
    <n v="286"/>
    <n v="114.03"/>
    <n v="32612.58"/>
    <n v="26126.240000000002"/>
    <n v="6486.34"/>
    <x v="8"/>
  </r>
  <r>
    <x v="3"/>
    <x v="11"/>
    <x v="0"/>
    <x v="1"/>
    <x v="3"/>
    <x v="2"/>
    <n v="353"/>
    <n v="35.26"/>
    <n v="12446.78"/>
    <n v="9388.19"/>
    <n v="3058.59"/>
    <x v="8"/>
  </r>
  <r>
    <x v="1"/>
    <x v="2"/>
    <x v="1"/>
    <x v="11"/>
    <x v="0"/>
    <x v="2"/>
    <n v="16"/>
    <n v="29.03"/>
    <n v="464.48"/>
    <n v="374.08"/>
    <n v="90.4"/>
    <x v="8"/>
  </r>
  <r>
    <x v="1"/>
    <x v="2"/>
    <x v="0"/>
    <x v="2"/>
    <x v="4"/>
    <x v="0"/>
    <n v="16"/>
    <n v="35.06"/>
    <n v="560.96"/>
    <n v="369.78"/>
    <n v="191.18"/>
    <x v="8"/>
  </r>
  <r>
    <x v="0"/>
    <x v="9"/>
    <x v="0"/>
    <x v="7"/>
    <x v="3"/>
    <x v="1"/>
    <n v="341"/>
    <n v="233.85"/>
    <n v="79742.850000000006"/>
    <n v="48088.99"/>
    <n v="31653.86"/>
    <x v="8"/>
  </r>
  <r>
    <x v="3"/>
    <x v="11"/>
    <x v="0"/>
    <x v="1"/>
    <x v="4"/>
    <x v="1"/>
    <n v="276"/>
    <n v="182.3"/>
    <n v="50314.8"/>
    <n v="34979.99"/>
    <n v="15334.81"/>
    <x v="8"/>
  </r>
  <r>
    <x v="0"/>
    <x v="13"/>
    <x v="0"/>
    <x v="0"/>
    <x v="2"/>
    <x v="2"/>
    <n v="263"/>
    <n v="273.45"/>
    <n v="71917.350000000006"/>
    <n v="53639.41"/>
    <n v="18277.939999999999"/>
    <x v="8"/>
  </r>
  <r>
    <x v="2"/>
    <x v="12"/>
    <x v="1"/>
    <x v="8"/>
    <x v="3"/>
    <x v="0"/>
    <n v="49"/>
    <n v="157.04"/>
    <n v="7694.96"/>
    <n v="5767.59"/>
    <n v="1927.37"/>
    <x v="8"/>
  </r>
  <r>
    <x v="0"/>
    <x v="10"/>
    <x v="1"/>
    <x v="3"/>
    <x v="0"/>
    <x v="1"/>
    <n v="474"/>
    <n v="207.42"/>
    <n v="98317.08"/>
    <n v="70463.41"/>
    <n v="27853.67"/>
    <x v="8"/>
  </r>
  <r>
    <x v="0"/>
    <x v="9"/>
    <x v="0"/>
    <x v="9"/>
    <x v="1"/>
    <x v="0"/>
    <n v="252"/>
    <n v="15.29"/>
    <n v="3853.08"/>
    <n v="2983.21"/>
    <n v="869.87"/>
    <x v="9"/>
  </r>
  <r>
    <x v="3"/>
    <x v="5"/>
    <x v="0"/>
    <x v="1"/>
    <x v="2"/>
    <x v="2"/>
    <n v="235"/>
    <n v="147.13999999999999"/>
    <n v="34577.9"/>
    <n v="25374.63"/>
    <n v="9203.27"/>
    <x v="9"/>
  </r>
  <r>
    <x v="0"/>
    <x v="13"/>
    <x v="1"/>
    <x v="4"/>
    <x v="3"/>
    <x v="1"/>
    <n v="160"/>
    <n v="47.13"/>
    <n v="7540.8"/>
    <n v="4810.8500000000004"/>
    <n v="2729.95"/>
    <x v="9"/>
  </r>
  <r>
    <x v="3"/>
    <x v="11"/>
    <x v="0"/>
    <x v="2"/>
    <x v="4"/>
    <x v="2"/>
    <n v="297"/>
    <n v="47.04"/>
    <n v="13970.88"/>
    <n v="11267.75"/>
    <n v="2703.13"/>
    <x v="9"/>
  </r>
  <r>
    <x v="0"/>
    <x v="10"/>
    <x v="1"/>
    <x v="8"/>
    <x v="3"/>
    <x v="0"/>
    <n v="427"/>
    <n v="254.1"/>
    <n v="108500.7"/>
    <n v="80839.03"/>
    <n v="27661.67"/>
    <x v="9"/>
  </r>
  <r>
    <x v="2"/>
    <x v="12"/>
    <x v="0"/>
    <x v="2"/>
    <x v="3"/>
    <x v="1"/>
    <n v="17"/>
    <n v="21.44"/>
    <n v="364.48"/>
    <n v="262.02"/>
    <n v="102.46"/>
    <x v="9"/>
  </r>
  <r>
    <x v="0"/>
    <x v="9"/>
    <x v="1"/>
    <x v="11"/>
    <x v="3"/>
    <x v="2"/>
    <n v="18"/>
    <n v="281.5"/>
    <n v="5067"/>
    <n v="3106.03"/>
    <n v="1960.97"/>
    <x v="9"/>
  </r>
  <r>
    <x v="3"/>
    <x v="5"/>
    <x v="1"/>
    <x v="8"/>
    <x v="3"/>
    <x v="1"/>
    <n v="187"/>
    <n v="26.76"/>
    <n v="5004.12"/>
    <n v="3871.98"/>
    <n v="1132.1400000000001"/>
    <x v="9"/>
  </r>
  <r>
    <x v="1"/>
    <x v="1"/>
    <x v="0"/>
    <x v="9"/>
    <x v="4"/>
    <x v="1"/>
    <n v="14"/>
    <n v="223.78"/>
    <n v="3132.92"/>
    <n v="2481.7399999999998"/>
    <n v="651.17999999999995"/>
    <x v="9"/>
  </r>
  <r>
    <x v="0"/>
    <x v="9"/>
    <x v="0"/>
    <x v="9"/>
    <x v="3"/>
    <x v="2"/>
    <n v="418"/>
    <n v="257.14"/>
    <n v="107484.52"/>
    <n v="65442.55"/>
    <n v="42041.97"/>
    <x v="9"/>
  </r>
  <r>
    <x v="0"/>
    <x v="0"/>
    <x v="1"/>
    <x v="6"/>
    <x v="4"/>
    <x v="1"/>
    <n v="75"/>
    <n v="120.46"/>
    <n v="9034.5"/>
    <n v="6202.91"/>
    <n v="2831.59"/>
    <x v="9"/>
  </r>
  <r>
    <x v="3"/>
    <x v="5"/>
    <x v="1"/>
    <x v="3"/>
    <x v="1"/>
    <x v="1"/>
    <n v="485"/>
    <n v="248.15"/>
    <n v="120352.75"/>
    <n v="72258.740000000005"/>
    <n v="48094.01"/>
    <x v="9"/>
  </r>
  <r>
    <x v="1"/>
    <x v="15"/>
    <x v="1"/>
    <x v="6"/>
    <x v="2"/>
    <x v="2"/>
    <n v="165"/>
    <n v="249.53"/>
    <n v="41172.449999999997"/>
    <n v="25739.34"/>
    <n v="15433.11"/>
    <x v="9"/>
  </r>
  <r>
    <x v="2"/>
    <x v="14"/>
    <x v="0"/>
    <x v="2"/>
    <x v="2"/>
    <x v="1"/>
    <n v="437"/>
    <n v="158.54"/>
    <n v="69281.98"/>
    <n v="53351.07"/>
    <n v="15930.91"/>
    <x v="9"/>
  </r>
  <r>
    <x v="0"/>
    <x v="13"/>
    <x v="0"/>
    <x v="0"/>
    <x v="2"/>
    <x v="0"/>
    <n v="76"/>
    <n v="267.36"/>
    <n v="20319.36"/>
    <n v="15019.67"/>
    <n v="5299.69"/>
    <x v="9"/>
  </r>
  <r>
    <x v="0"/>
    <x v="13"/>
    <x v="1"/>
    <x v="5"/>
    <x v="4"/>
    <x v="0"/>
    <n v="385"/>
    <n v="120.06"/>
    <n v="46223.1"/>
    <n v="30353.91"/>
    <n v="15869.19"/>
    <x v="9"/>
  </r>
  <r>
    <x v="1"/>
    <x v="15"/>
    <x v="0"/>
    <x v="2"/>
    <x v="4"/>
    <x v="2"/>
    <n v="468"/>
    <n v="46.02"/>
    <n v="21537.360000000001"/>
    <n v="17747.98"/>
    <n v="3789.38"/>
    <x v="9"/>
  </r>
  <r>
    <x v="2"/>
    <x v="14"/>
    <x v="1"/>
    <x v="3"/>
    <x v="4"/>
    <x v="0"/>
    <n v="302"/>
    <n v="215.1"/>
    <n v="64960.2"/>
    <n v="41453.360000000001"/>
    <n v="23506.84"/>
    <x v="9"/>
  </r>
  <r>
    <x v="1"/>
    <x v="15"/>
    <x v="0"/>
    <x v="0"/>
    <x v="1"/>
    <x v="1"/>
    <n v="68"/>
    <n v="101.69"/>
    <n v="6914.92"/>
    <n v="5025.82"/>
    <n v="1889.1"/>
    <x v="9"/>
  </r>
  <r>
    <x v="3"/>
    <x v="8"/>
    <x v="1"/>
    <x v="3"/>
    <x v="2"/>
    <x v="0"/>
    <n v="233"/>
    <n v="95.06"/>
    <n v="22148.98"/>
    <n v="17570.46"/>
    <n v="4578.5200000000004"/>
    <x v="9"/>
  </r>
  <r>
    <x v="0"/>
    <x v="10"/>
    <x v="0"/>
    <x v="1"/>
    <x v="4"/>
    <x v="1"/>
    <n v="170"/>
    <n v="142.31"/>
    <n v="24192.7"/>
    <n v="16747.72"/>
    <n v="7444.98"/>
    <x v="9"/>
  </r>
  <r>
    <x v="0"/>
    <x v="0"/>
    <x v="0"/>
    <x v="1"/>
    <x v="4"/>
    <x v="2"/>
    <n v="380"/>
    <n v="61.55"/>
    <n v="23389"/>
    <n v="18077.46"/>
    <n v="5311.54"/>
    <x v="9"/>
  </r>
  <r>
    <x v="0"/>
    <x v="9"/>
    <x v="1"/>
    <x v="11"/>
    <x v="4"/>
    <x v="2"/>
    <n v="128"/>
    <n v="283.94"/>
    <n v="36344.32"/>
    <n v="28014.639999999999"/>
    <n v="8329.68"/>
    <x v="9"/>
  </r>
  <r>
    <x v="1"/>
    <x v="6"/>
    <x v="1"/>
    <x v="6"/>
    <x v="4"/>
    <x v="2"/>
    <n v="495"/>
    <n v="70.849999999999994"/>
    <n v="35070.75"/>
    <n v="28276.94"/>
    <n v="6793.81"/>
    <x v="10"/>
  </r>
  <r>
    <x v="0"/>
    <x v="13"/>
    <x v="1"/>
    <x v="6"/>
    <x v="0"/>
    <x v="1"/>
    <n v="50"/>
    <n v="95.75"/>
    <n v="4787.5"/>
    <n v="3583.21"/>
    <n v="1204.29"/>
    <x v="10"/>
  </r>
  <r>
    <x v="1"/>
    <x v="6"/>
    <x v="1"/>
    <x v="3"/>
    <x v="0"/>
    <x v="1"/>
    <n v="315"/>
    <n v="181.08"/>
    <n v="57040.2"/>
    <n v="39817.54"/>
    <n v="17222.66"/>
    <x v="10"/>
  </r>
  <r>
    <x v="1"/>
    <x v="1"/>
    <x v="1"/>
    <x v="4"/>
    <x v="1"/>
    <x v="2"/>
    <n v="204"/>
    <n v="159.41999999999999"/>
    <n v="32521.68"/>
    <n v="27424.799999999999"/>
    <n v="5096.88"/>
    <x v="10"/>
  </r>
  <r>
    <x v="3"/>
    <x v="8"/>
    <x v="1"/>
    <x v="11"/>
    <x v="2"/>
    <x v="1"/>
    <n v="412"/>
    <n v="88.25"/>
    <n v="36359"/>
    <n v="29314.89"/>
    <n v="7044.11"/>
    <x v="10"/>
  </r>
  <r>
    <x v="0"/>
    <x v="13"/>
    <x v="0"/>
    <x v="2"/>
    <x v="2"/>
    <x v="2"/>
    <n v="10"/>
    <n v="45.39"/>
    <n v="453.9"/>
    <n v="286.54000000000002"/>
    <n v="167.36"/>
    <x v="10"/>
  </r>
  <r>
    <x v="0"/>
    <x v="9"/>
    <x v="0"/>
    <x v="0"/>
    <x v="4"/>
    <x v="1"/>
    <n v="127"/>
    <n v="84.79"/>
    <n v="10768.33"/>
    <n v="6921.04"/>
    <n v="3847.29"/>
    <x v="10"/>
  </r>
  <r>
    <x v="0"/>
    <x v="9"/>
    <x v="0"/>
    <x v="0"/>
    <x v="0"/>
    <x v="1"/>
    <n v="372"/>
    <n v="79.22"/>
    <n v="29469.84"/>
    <n v="24534.31"/>
    <n v="4935.53"/>
    <x v="10"/>
  </r>
  <r>
    <x v="0"/>
    <x v="0"/>
    <x v="1"/>
    <x v="6"/>
    <x v="0"/>
    <x v="1"/>
    <n v="12"/>
    <n v="96.29"/>
    <n v="1155.48"/>
    <n v="856.51"/>
    <n v="298.97000000000003"/>
    <x v="10"/>
  </r>
  <r>
    <x v="3"/>
    <x v="7"/>
    <x v="1"/>
    <x v="6"/>
    <x v="4"/>
    <x v="1"/>
    <n v="19"/>
    <n v="279.79000000000002"/>
    <n v="5316.01"/>
    <n v="3525.92"/>
    <n v="1790.09"/>
    <x v="10"/>
  </r>
  <r>
    <x v="1"/>
    <x v="6"/>
    <x v="0"/>
    <x v="1"/>
    <x v="3"/>
    <x v="1"/>
    <n v="197"/>
    <n v="197.37"/>
    <n v="38881.89"/>
    <n v="28182.89"/>
    <n v="10699"/>
    <x v="10"/>
  </r>
  <r>
    <x v="0"/>
    <x v="0"/>
    <x v="0"/>
    <x v="1"/>
    <x v="3"/>
    <x v="1"/>
    <n v="478"/>
    <n v="161.22"/>
    <n v="77063.16"/>
    <n v="47463.99"/>
    <n v="29599.17"/>
    <x v="10"/>
  </r>
  <r>
    <x v="0"/>
    <x v="0"/>
    <x v="0"/>
    <x v="2"/>
    <x v="4"/>
    <x v="2"/>
    <n v="421"/>
    <n v="67.87"/>
    <n v="28573.27"/>
    <n v="22003.05"/>
    <n v="6570.22"/>
    <x v="10"/>
  </r>
  <r>
    <x v="2"/>
    <x v="12"/>
    <x v="1"/>
    <x v="11"/>
    <x v="0"/>
    <x v="1"/>
    <n v="179"/>
    <n v="233.35"/>
    <n v="41769.65"/>
    <n v="33490.44"/>
    <n v="8279.2099999999991"/>
    <x v="10"/>
  </r>
  <r>
    <x v="2"/>
    <x v="14"/>
    <x v="1"/>
    <x v="3"/>
    <x v="4"/>
    <x v="2"/>
    <n v="47"/>
    <n v="222.2"/>
    <n v="10443.4"/>
    <n v="7938.64"/>
    <n v="2504.7600000000002"/>
    <x v="10"/>
  </r>
  <r>
    <x v="3"/>
    <x v="5"/>
    <x v="0"/>
    <x v="1"/>
    <x v="1"/>
    <x v="2"/>
    <n v="455"/>
    <n v="264.68"/>
    <n v="120429.4"/>
    <n v="95048.88"/>
    <n v="25380.52"/>
    <x v="10"/>
  </r>
  <r>
    <x v="3"/>
    <x v="11"/>
    <x v="1"/>
    <x v="5"/>
    <x v="3"/>
    <x v="2"/>
    <n v="235"/>
    <n v="121.39"/>
    <n v="28526.65"/>
    <n v="17377.95"/>
    <n v="11148.7"/>
    <x v="10"/>
  </r>
  <r>
    <x v="1"/>
    <x v="2"/>
    <x v="1"/>
    <x v="11"/>
    <x v="0"/>
    <x v="1"/>
    <n v="17"/>
    <n v="160.06"/>
    <n v="2721.02"/>
    <n v="1925.41"/>
    <n v="795.61"/>
    <x v="11"/>
  </r>
  <r>
    <x v="2"/>
    <x v="14"/>
    <x v="1"/>
    <x v="3"/>
    <x v="3"/>
    <x v="0"/>
    <n v="110"/>
    <n v="295.60000000000002"/>
    <n v="32516"/>
    <n v="26329"/>
    <n v="6187"/>
    <x v="11"/>
  </r>
  <r>
    <x v="0"/>
    <x v="13"/>
    <x v="0"/>
    <x v="0"/>
    <x v="0"/>
    <x v="1"/>
    <n v="204"/>
    <n v="138.19"/>
    <n v="28190.76"/>
    <n v="19246.46"/>
    <n v="8944.2999999999993"/>
    <x v="11"/>
  </r>
  <r>
    <x v="2"/>
    <x v="12"/>
    <x v="0"/>
    <x v="2"/>
    <x v="3"/>
    <x v="2"/>
    <n v="307"/>
    <n v="276.14999999999998"/>
    <n v="84778.05"/>
    <n v="59864.480000000003"/>
    <n v="24913.57"/>
    <x v="11"/>
  </r>
  <r>
    <x v="0"/>
    <x v="0"/>
    <x v="1"/>
    <x v="5"/>
    <x v="0"/>
    <x v="1"/>
    <n v="62"/>
    <n v="209.53"/>
    <n v="12990.86"/>
    <n v="8580.1"/>
    <n v="4410.76"/>
    <x v="11"/>
  </r>
  <r>
    <x v="1"/>
    <x v="2"/>
    <x v="1"/>
    <x v="5"/>
    <x v="3"/>
    <x v="1"/>
    <n v="208"/>
    <n v="297.44"/>
    <n v="61867.519999999997"/>
    <n v="40703.75"/>
    <n v="21163.77"/>
    <x v="11"/>
  </r>
  <r>
    <x v="1"/>
    <x v="1"/>
    <x v="0"/>
    <x v="9"/>
    <x v="4"/>
    <x v="2"/>
    <n v="148"/>
    <n v="280.27999999999997"/>
    <n v="41481.440000000002"/>
    <n v="28214.04"/>
    <n v="13267.4"/>
    <x v="11"/>
  </r>
  <r>
    <x v="2"/>
    <x v="4"/>
    <x v="0"/>
    <x v="2"/>
    <x v="0"/>
    <x v="0"/>
    <n v="402"/>
    <n v="238.65"/>
    <n v="95937.3"/>
    <n v="73511.59"/>
    <n v="22425.71"/>
    <x v="11"/>
  </r>
  <r>
    <x v="3"/>
    <x v="11"/>
    <x v="0"/>
    <x v="1"/>
    <x v="3"/>
    <x v="0"/>
    <n v="201"/>
    <n v="152.77000000000001"/>
    <n v="30706.77"/>
    <n v="22855.66"/>
    <n v="7851.11"/>
    <x v="11"/>
  </r>
  <r>
    <x v="3"/>
    <x v="8"/>
    <x v="1"/>
    <x v="11"/>
    <x v="4"/>
    <x v="2"/>
    <n v="418"/>
    <n v="289.41000000000003"/>
    <n v="120973.38"/>
    <n v="88281.3"/>
    <n v="32692.080000000002"/>
    <x v="11"/>
  </r>
  <r>
    <x v="3"/>
    <x v="8"/>
    <x v="1"/>
    <x v="11"/>
    <x v="1"/>
    <x v="2"/>
    <n v="161"/>
    <n v="106.93"/>
    <n v="17215.73"/>
    <n v="13707.58"/>
    <n v="3508.15"/>
    <x v="11"/>
  </r>
  <r>
    <x v="1"/>
    <x v="1"/>
    <x v="1"/>
    <x v="6"/>
    <x v="1"/>
    <x v="0"/>
    <n v="167"/>
    <n v="65.3"/>
    <n v="10905.1"/>
    <n v="6642.7"/>
    <n v="4262.3999999999996"/>
    <x v="11"/>
  </r>
  <r>
    <x v="0"/>
    <x v="13"/>
    <x v="1"/>
    <x v="11"/>
    <x v="4"/>
    <x v="1"/>
    <n v="258"/>
    <n v="159.06"/>
    <n v="41037.480000000003"/>
    <n v="32662.27"/>
    <n v="8375.2099999999991"/>
    <x v="11"/>
  </r>
  <r>
    <x v="0"/>
    <x v="13"/>
    <x v="0"/>
    <x v="7"/>
    <x v="0"/>
    <x v="2"/>
    <n v="435"/>
    <n v="297.72000000000003"/>
    <n v="129508.2"/>
    <n v="86895.29"/>
    <n v="42612.91"/>
    <x v="11"/>
  </r>
  <r>
    <x v="1"/>
    <x v="1"/>
    <x v="0"/>
    <x v="9"/>
    <x v="0"/>
    <x v="2"/>
    <n v="463"/>
    <n v="75.58"/>
    <n v="34993.54"/>
    <n v="28405.3"/>
    <n v="6588.24"/>
    <x v="11"/>
  </r>
  <r>
    <x v="1"/>
    <x v="6"/>
    <x v="1"/>
    <x v="3"/>
    <x v="4"/>
    <x v="2"/>
    <n v="187"/>
    <n v="109.37"/>
    <n v="20452.189999999999"/>
    <n v="14992.71"/>
    <n v="5459.48"/>
    <x v="11"/>
  </r>
  <r>
    <x v="0"/>
    <x v="10"/>
    <x v="1"/>
    <x v="3"/>
    <x v="2"/>
    <x v="2"/>
    <n v="333"/>
    <n v="133.38"/>
    <n v="44415.54"/>
    <n v="32285.77"/>
    <n v="12129.77"/>
    <x v="11"/>
  </r>
  <r>
    <x v="3"/>
    <x v="5"/>
    <x v="0"/>
    <x v="0"/>
    <x v="2"/>
    <x v="0"/>
    <n v="108"/>
    <n v="183.21"/>
    <n v="19786.68"/>
    <n v="14469.17"/>
    <n v="5317.51"/>
    <x v="11"/>
  </r>
  <r>
    <x v="0"/>
    <x v="9"/>
    <x v="1"/>
    <x v="8"/>
    <x v="4"/>
    <x v="1"/>
    <n v="57"/>
    <n v="96"/>
    <n v="5472"/>
    <n v="4260.53"/>
    <n v="1211.47"/>
    <x v="11"/>
  </r>
  <r>
    <x v="1"/>
    <x v="15"/>
    <x v="1"/>
    <x v="8"/>
    <x v="0"/>
    <x v="0"/>
    <n v="366"/>
    <n v="136.72999999999999"/>
    <n v="50043.18"/>
    <n v="37451.83"/>
    <n v="12591.35"/>
    <x v="11"/>
  </r>
  <r>
    <x v="2"/>
    <x v="16"/>
    <x v="0"/>
    <x v="7"/>
    <x v="0"/>
    <x v="2"/>
    <n v="400"/>
    <n v="144.16"/>
    <n v="57664"/>
    <n v="47115.42"/>
    <n v="10548.58"/>
    <x v="11"/>
  </r>
  <r>
    <x v="2"/>
    <x v="16"/>
    <x v="1"/>
    <x v="3"/>
    <x v="1"/>
    <x v="2"/>
    <n v="466"/>
    <n v="134.80000000000001"/>
    <n v="62816.800000000003"/>
    <n v="40370.230000000003"/>
    <n v="22446.57"/>
    <x v="11"/>
  </r>
  <r>
    <x v="0"/>
    <x v="10"/>
    <x v="1"/>
    <x v="4"/>
    <x v="0"/>
    <x v="1"/>
    <n v="115"/>
    <n v="91.83"/>
    <n v="10560.45"/>
    <n v="7027.2"/>
    <n v="3533.25"/>
    <x v="11"/>
  </r>
  <r>
    <x v="2"/>
    <x v="4"/>
    <x v="0"/>
    <x v="7"/>
    <x v="1"/>
    <x v="1"/>
    <n v="63"/>
    <n v="251.48"/>
    <n v="15843.24"/>
    <n v="9549.64"/>
    <n v="6293.6"/>
    <x v="11"/>
  </r>
  <r>
    <x v="0"/>
    <x v="0"/>
    <x v="1"/>
    <x v="6"/>
    <x v="1"/>
    <x v="0"/>
    <n v="433"/>
    <n v="224.57"/>
    <n v="97238.81"/>
    <n v="80661.45"/>
    <n v="16577.36"/>
    <x v="11"/>
  </r>
  <r>
    <x v="2"/>
    <x v="3"/>
    <x v="1"/>
    <x v="11"/>
    <x v="2"/>
    <x v="0"/>
    <n v="391"/>
    <n v="107.72"/>
    <n v="42118.52"/>
    <n v="35795.94"/>
    <n v="6322.58"/>
    <x v="11"/>
  </r>
  <r>
    <x v="3"/>
    <x v="7"/>
    <x v="0"/>
    <x v="7"/>
    <x v="3"/>
    <x v="2"/>
    <n v="327"/>
    <n v="181.8"/>
    <n v="59448.6"/>
    <n v="47925.69"/>
    <n v="11522.91"/>
    <x v="11"/>
  </r>
  <r>
    <x v="2"/>
    <x v="4"/>
    <x v="0"/>
    <x v="9"/>
    <x v="1"/>
    <x v="0"/>
    <n v="170"/>
    <n v="49.73"/>
    <n v="8454.1"/>
    <n v="7175.38"/>
    <n v="1278.72"/>
    <x v="11"/>
  </r>
  <r>
    <x v="1"/>
    <x v="2"/>
    <x v="0"/>
    <x v="0"/>
    <x v="3"/>
    <x v="0"/>
    <n v="455"/>
    <n v="132.58000000000001"/>
    <n v="60323.9"/>
    <n v="48587.98"/>
    <n v="11735.92"/>
    <x v="11"/>
  </r>
  <r>
    <x v="0"/>
    <x v="0"/>
    <x v="0"/>
    <x v="9"/>
    <x v="4"/>
    <x v="1"/>
    <n v="396"/>
    <n v="127.24"/>
    <n v="50387.040000000001"/>
    <n v="36920.32"/>
    <n v="13466.72"/>
    <x v="11"/>
  </r>
  <r>
    <x v="1"/>
    <x v="1"/>
    <x v="1"/>
    <x v="3"/>
    <x v="4"/>
    <x v="1"/>
    <n v="19"/>
    <n v="169.09"/>
    <n v="3212.71"/>
    <n v="2368.5100000000002"/>
    <n v="844.2"/>
    <x v="12"/>
  </r>
  <r>
    <x v="0"/>
    <x v="13"/>
    <x v="1"/>
    <x v="3"/>
    <x v="2"/>
    <x v="0"/>
    <n v="274"/>
    <n v="219.71"/>
    <n v="60200.54"/>
    <n v="40339.4"/>
    <n v="19861.14"/>
    <x v="12"/>
  </r>
  <r>
    <x v="3"/>
    <x v="5"/>
    <x v="1"/>
    <x v="4"/>
    <x v="3"/>
    <x v="2"/>
    <n v="256"/>
    <n v="123.91"/>
    <n v="31720.959999999999"/>
    <n v="25806.76"/>
    <n v="5914.2"/>
    <x v="12"/>
  </r>
  <r>
    <x v="2"/>
    <x v="12"/>
    <x v="1"/>
    <x v="4"/>
    <x v="3"/>
    <x v="0"/>
    <n v="444"/>
    <n v="236.89"/>
    <n v="105179.16"/>
    <n v="82423.070000000007"/>
    <n v="22756.09"/>
    <x v="12"/>
  </r>
  <r>
    <x v="1"/>
    <x v="15"/>
    <x v="0"/>
    <x v="7"/>
    <x v="4"/>
    <x v="0"/>
    <n v="169"/>
    <n v="202.5"/>
    <n v="34222.5"/>
    <n v="28775.94"/>
    <n v="5446.56"/>
    <x v="12"/>
  </r>
  <r>
    <x v="3"/>
    <x v="11"/>
    <x v="1"/>
    <x v="4"/>
    <x v="0"/>
    <x v="0"/>
    <n v="211"/>
    <n v="15.99"/>
    <n v="3373.89"/>
    <n v="2251.2399999999998"/>
    <n v="1122.6500000000001"/>
    <x v="12"/>
  </r>
  <r>
    <x v="1"/>
    <x v="15"/>
    <x v="0"/>
    <x v="9"/>
    <x v="0"/>
    <x v="1"/>
    <n v="268"/>
    <n v="160.85"/>
    <n v="43107.8"/>
    <n v="35048.6"/>
    <n v="8059.2"/>
    <x v="12"/>
  </r>
  <r>
    <x v="1"/>
    <x v="2"/>
    <x v="1"/>
    <x v="3"/>
    <x v="1"/>
    <x v="2"/>
    <n v="137"/>
    <n v="135.41999999999999"/>
    <n v="18552.54"/>
    <n v="12577.77"/>
    <n v="5974.77"/>
    <x v="12"/>
  </r>
  <r>
    <x v="3"/>
    <x v="8"/>
    <x v="0"/>
    <x v="2"/>
    <x v="0"/>
    <x v="0"/>
    <n v="486"/>
    <n v="233.63"/>
    <n v="113544.18"/>
    <n v="86709.45"/>
    <n v="26834.73"/>
    <x v="12"/>
  </r>
  <r>
    <x v="1"/>
    <x v="1"/>
    <x v="0"/>
    <x v="0"/>
    <x v="0"/>
    <x v="2"/>
    <n v="363"/>
    <n v="193.86"/>
    <n v="70371.179999999993"/>
    <n v="51722.559999999998"/>
    <n v="18648.62"/>
    <x v="12"/>
  </r>
  <r>
    <x v="0"/>
    <x v="13"/>
    <x v="0"/>
    <x v="7"/>
    <x v="4"/>
    <x v="0"/>
    <n v="390"/>
    <n v="142.49"/>
    <n v="55571.1"/>
    <n v="35986.800000000003"/>
    <n v="19584.3"/>
    <x v="12"/>
  </r>
  <r>
    <x v="3"/>
    <x v="5"/>
    <x v="0"/>
    <x v="0"/>
    <x v="0"/>
    <x v="2"/>
    <n v="453"/>
    <n v="119.88"/>
    <n v="54305.64"/>
    <n v="32674.49"/>
    <n v="21631.15"/>
    <x v="12"/>
  </r>
  <r>
    <x v="2"/>
    <x v="16"/>
    <x v="1"/>
    <x v="11"/>
    <x v="3"/>
    <x v="1"/>
    <n v="132"/>
    <n v="47.56"/>
    <n v="6277.92"/>
    <n v="5161.62"/>
    <n v="1116.3"/>
    <x v="12"/>
  </r>
  <r>
    <x v="0"/>
    <x v="10"/>
    <x v="0"/>
    <x v="7"/>
    <x v="1"/>
    <x v="2"/>
    <n v="273"/>
    <n v="38.840000000000003"/>
    <n v="10603.32"/>
    <n v="7006.6"/>
    <n v="3596.72"/>
    <x v="12"/>
  </r>
  <r>
    <x v="2"/>
    <x v="14"/>
    <x v="1"/>
    <x v="10"/>
    <x v="2"/>
    <x v="2"/>
    <n v="137"/>
    <n v="75.14"/>
    <n v="10294.18"/>
    <n v="7340.88"/>
    <n v="2953.3"/>
    <x v="12"/>
  </r>
  <r>
    <x v="0"/>
    <x v="0"/>
    <x v="0"/>
    <x v="2"/>
    <x v="2"/>
    <x v="2"/>
    <n v="250"/>
    <n v="190.53"/>
    <n v="47632.5"/>
    <n v="34173.269999999997"/>
    <n v="13459.23"/>
    <x v="12"/>
  </r>
  <r>
    <x v="1"/>
    <x v="6"/>
    <x v="0"/>
    <x v="9"/>
    <x v="3"/>
    <x v="0"/>
    <n v="34"/>
    <n v="193.54"/>
    <n v="6580.36"/>
    <n v="4061.78"/>
    <n v="2518.58"/>
    <x v="12"/>
  </r>
  <r>
    <x v="2"/>
    <x v="4"/>
    <x v="1"/>
    <x v="10"/>
    <x v="3"/>
    <x v="2"/>
    <n v="215"/>
    <n v="183.51"/>
    <n v="39454.65"/>
    <n v="29663.06"/>
    <n v="9791.59"/>
    <x v="12"/>
  </r>
  <r>
    <x v="2"/>
    <x v="16"/>
    <x v="0"/>
    <x v="2"/>
    <x v="1"/>
    <x v="1"/>
    <n v="107"/>
    <n v="142.66"/>
    <n v="15264.62"/>
    <n v="10651.54"/>
    <n v="4613.08"/>
    <x v="12"/>
  </r>
  <r>
    <x v="2"/>
    <x v="14"/>
    <x v="1"/>
    <x v="3"/>
    <x v="3"/>
    <x v="2"/>
    <n v="481"/>
    <n v="23.3"/>
    <n v="11207.3"/>
    <n v="8463.77"/>
    <n v="2743.53"/>
    <x v="12"/>
  </r>
  <r>
    <x v="0"/>
    <x v="0"/>
    <x v="1"/>
    <x v="3"/>
    <x v="1"/>
    <x v="1"/>
    <n v="329"/>
    <n v="133.05000000000001"/>
    <n v="43773.45"/>
    <n v="27168.19"/>
    <n v="16605.259999999998"/>
    <x v="12"/>
  </r>
  <r>
    <x v="1"/>
    <x v="15"/>
    <x v="0"/>
    <x v="2"/>
    <x v="2"/>
    <x v="2"/>
    <n v="235"/>
    <n v="299.17"/>
    <n v="70304.95"/>
    <n v="49673.63"/>
    <n v="20631.32"/>
    <x v="12"/>
  </r>
  <r>
    <x v="0"/>
    <x v="9"/>
    <x v="1"/>
    <x v="6"/>
    <x v="0"/>
    <x v="1"/>
    <n v="261"/>
    <n v="298.5"/>
    <n v="77908.5"/>
    <n v="60607.41"/>
    <n v="17301.09"/>
    <x v="12"/>
  </r>
  <r>
    <x v="1"/>
    <x v="2"/>
    <x v="1"/>
    <x v="5"/>
    <x v="0"/>
    <x v="1"/>
    <n v="406"/>
    <n v="257.72000000000003"/>
    <n v="104634.32"/>
    <n v="76566.789999999994"/>
    <n v="28067.53"/>
    <x v="12"/>
  </r>
  <r>
    <x v="2"/>
    <x v="4"/>
    <x v="0"/>
    <x v="7"/>
    <x v="0"/>
    <x v="1"/>
    <n v="417"/>
    <n v="42.49"/>
    <n v="17718.330000000002"/>
    <n v="12393.33"/>
    <n v="5325"/>
    <x v="12"/>
  </r>
  <r>
    <x v="1"/>
    <x v="6"/>
    <x v="0"/>
    <x v="1"/>
    <x v="2"/>
    <x v="1"/>
    <n v="98"/>
    <n v="208.06"/>
    <n v="20389.88"/>
    <n v="14537.72"/>
    <n v="5852.16"/>
    <x v="12"/>
  </r>
  <r>
    <x v="1"/>
    <x v="15"/>
    <x v="1"/>
    <x v="10"/>
    <x v="3"/>
    <x v="2"/>
    <n v="340"/>
    <n v="65.510000000000005"/>
    <n v="22273.4"/>
    <n v="15656.28"/>
    <n v="6617.12"/>
    <x v="12"/>
  </r>
  <r>
    <x v="3"/>
    <x v="5"/>
    <x v="0"/>
    <x v="1"/>
    <x v="0"/>
    <x v="0"/>
    <n v="431"/>
    <n v="166.54"/>
    <n v="71778.740000000005"/>
    <n v="50940.38"/>
    <n v="20838.36"/>
    <x v="12"/>
  </r>
  <r>
    <x v="2"/>
    <x v="12"/>
    <x v="0"/>
    <x v="1"/>
    <x v="4"/>
    <x v="0"/>
    <n v="272"/>
    <n v="211.59"/>
    <n v="57552.480000000003"/>
    <n v="40348.870000000003"/>
    <n v="17203.61"/>
    <x v="12"/>
  </r>
  <r>
    <x v="3"/>
    <x v="7"/>
    <x v="0"/>
    <x v="0"/>
    <x v="0"/>
    <x v="0"/>
    <n v="358"/>
    <n v="128.32"/>
    <n v="45938.559999999998"/>
    <n v="33899.47"/>
    <n v="12039.09"/>
    <x v="12"/>
  </r>
  <r>
    <x v="1"/>
    <x v="6"/>
    <x v="0"/>
    <x v="9"/>
    <x v="1"/>
    <x v="1"/>
    <n v="146"/>
    <n v="200.63"/>
    <n v="29291.98"/>
    <n v="21033.71"/>
    <n v="8258.27"/>
    <x v="12"/>
  </r>
  <r>
    <x v="3"/>
    <x v="8"/>
    <x v="1"/>
    <x v="6"/>
    <x v="1"/>
    <x v="0"/>
    <n v="26"/>
    <n v="129.71"/>
    <n v="3372.46"/>
    <n v="2617.81"/>
    <n v="754.65"/>
    <x v="12"/>
  </r>
  <r>
    <x v="3"/>
    <x v="8"/>
    <x v="1"/>
    <x v="4"/>
    <x v="1"/>
    <x v="1"/>
    <n v="41"/>
    <n v="85"/>
    <n v="3485"/>
    <n v="2234.5"/>
    <n v="1250.5"/>
    <x v="12"/>
  </r>
  <r>
    <x v="0"/>
    <x v="10"/>
    <x v="1"/>
    <x v="5"/>
    <x v="3"/>
    <x v="2"/>
    <n v="226"/>
    <n v="163.79"/>
    <n v="37016.54"/>
    <n v="22598.15"/>
    <n v="14418.39"/>
    <x v="12"/>
  </r>
  <r>
    <x v="3"/>
    <x v="8"/>
    <x v="1"/>
    <x v="6"/>
    <x v="1"/>
    <x v="2"/>
    <n v="353"/>
    <n v="156.58000000000001"/>
    <n v="55272.74"/>
    <n v="46484.61"/>
    <n v="8788.1299999999992"/>
    <x v="12"/>
  </r>
  <r>
    <x v="0"/>
    <x v="10"/>
    <x v="0"/>
    <x v="1"/>
    <x v="3"/>
    <x v="0"/>
    <n v="156"/>
    <n v="100.45"/>
    <n v="15670.2"/>
    <n v="10405.200000000001"/>
    <n v="5265"/>
    <x v="12"/>
  </r>
  <r>
    <x v="2"/>
    <x v="4"/>
    <x v="1"/>
    <x v="8"/>
    <x v="0"/>
    <x v="2"/>
    <n v="75"/>
    <n v="32.29"/>
    <n v="2421.75"/>
    <n v="1756.15"/>
    <n v="665.6"/>
    <x v="12"/>
  </r>
  <r>
    <x v="1"/>
    <x v="6"/>
    <x v="0"/>
    <x v="9"/>
    <x v="1"/>
    <x v="2"/>
    <n v="188"/>
    <n v="269.39"/>
    <n v="50645.32"/>
    <n v="36160.5"/>
    <n v="14484.82"/>
    <x v="13"/>
  </r>
  <r>
    <x v="1"/>
    <x v="6"/>
    <x v="0"/>
    <x v="0"/>
    <x v="1"/>
    <x v="2"/>
    <n v="356"/>
    <n v="10.61"/>
    <n v="3777.16"/>
    <n v="2943.89"/>
    <n v="833.27"/>
    <x v="13"/>
  </r>
  <r>
    <x v="3"/>
    <x v="7"/>
    <x v="1"/>
    <x v="6"/>
    <x v="1"/>
    <x v="1"/>
    <n v="78"/>
    <n v="58.72"/>
    <n v="4580.16"/>
    <n v="3591.85"/>
    <n v="988.31"/>
    <x v="13"/>
  </r>
  <r>
    <x v="1"/>
    <x v="2"/>
    <x v="0"/>
    <x v="7"/>
    <x v="1"/>
    <x v="1"/>
    <n v="236"/>
    <n v="254.04"/>
    <n v="59953.440000000002"/>
    <n v="48658.33"/>
    <n v="11295.11"/>
    <x v="13"/>
  </r>
  <r>
    <x v="1"/>
    <x v="6"/>
    <x v="0"/>
    <x v="0"/>
    <x v="3"/>
    <x v="2"/>
    <n v="471"/>
    <n v="265.77999999999997"/>
    <n v="125182.38"/>
    <n v="100890.05"/>
    <n v="24292.33"/>
    <x v="13"/>
  </r>
  <r>
    <x v="2"/>
    <x v="4"/>
    <x v="1"/>
    <x v="11"/>
    <x v="3"/>
    <x v="1"/>
    <n v="371"/>
    <n v="171.83"/>
    <n v="63748.93"/>
    <n v="51186.44"/>
    <n v="12562.49"/>
    <x v="13"/>
  </r>
  <r>
    <x v="3"/>
    <x v="8"/>
    <x v="1"/>
    <x v="6"/>
    <x v="4"/>
    <x v="0"/>
    <n v="28"/>
    <n v="184.93"/>
    <n v="5178.04"/>
    <n v="3543.37"/>
    <n v="1634.67"/>
    <x v="13"/>
  </r>
  <r>
    <x v="0"/>
    <x v="0"/>
    <x v="1"/>
    <x v="3"/>
    <x v="1"/>
    <x v="1"/>
    <n v="183"/>
    <n v="211.03"/>
    <n v="38618.49"/>
    <n v="31101.79"/>
    <n v="7516.7"/>
    <x v="13"/>
  </r>
  <r>
    <x v="3"/>
    <x v="11"/>
    <x v="1"/>
    <x v="3"/>
    <x v="0"/>
    <x v="0"/>
    <n v="429"/>
    <n v="299.33"/>
    <n v="128412.57"/>
    <n v="101202.05"/>
    <n v="27210.52"/>
    <x v="13"/>
  </r>
  <r>
    <x v="0"/>
    <x v="13"/>
    <x v="0"/>
    <x v="9"/>
    <x v="4"/>
    <x v="0"/>
    <n v="163"/>
    <n v="268.83999999999997"/>
    <n v="43820.92"/>
    <n v="30887.7"/>
    <n v="12933.22"/>
    <x v="13"/>
  </r>
  <r>
    <x v="3"/>
    <x v="7"/>
    <x v="1"/>
    <x v="8"/>
    <x v="1"/>
    <x v="2"/>
    <n v="349"/>
    <n v="134.79"/>
    <n v="47041.71"/>
    <n v="30583.279999999999"/>
    <n v="16458.43"/>
    <x v="13"/>
  </r>
  <r>
    <x v="1"/>
    <x v="6"/>
    <x v="0"/>
    <x v="1"/>
    <x v="4"/>
    <x v="0"/>
    <n v="344"/>
    <n v="271.2"/>
    <n v="93292.800000000003"/>
    <n v="65811.56"/>
    <n v="27481.24"/>
    <x v="13"/>
  </r>
  <r>
    <x v="3"/>
    <x v="7"/>
    <x v="1"/>
    <x v="11"/>
    <x v="2"/>
    <x v="1"/>
    <n v="340"/>
    <n v="118.94"/>
    <n v="40439.599999999999"/>
    <n v="27265.08"/>
    <n v="13174.52"/>
    <x v="13"/>
  </r>
  <r>
    <x v="0"/>
    <x v="9"/>
    <x v="0"/>
    <x v="7"/>
    <x v="0"/>
    <x v="1"/>
    <n v="137"/>
    <n v="62.81"/>
    <n v="8604.9699999999993"/>
    <n v="6205.86"/>
    <n v="2399.11"/>
    <x v="13"/>
  </r>
  <r>
    <x v="0"/>
    <x v="10"/>
    <x v="1"/>
    <x v="4"/>
    <x v="2"/>
    <x v="2"/>
    <n v="381"/>
    <n v="254.92"/>
    <n v="97124.52"/>
    <n v="66022.83"/>
    <n v="31101.69"/>
    <x v="13"/>
  </r>
  <r>
    <x v="2"/>
    <x v="3"/>
    <x v="1"/>
    <x v="4"/>
    <x v="4"/>
    <x v="1"/>
    <n v="222"/>
    <n v="167.32"/>
    <n v="37145.040000000001"/>
    <n v="23676.26"/>
    <n v="13468.78"/>
    <x v="13"/>
  </r>
  <r>
    <x v="0"/>
    <x v="9"/>
    <x v="1"/>
    <x v="10"/>
    <x v="3"/>
    <x v="1"/>
    <n v="27"/>
    <n v="194.46"/>
    <n v="5250.42"/>
    <n v="3440.42"/>
    <n v="1810"/>
    <x v="13"/>
  </r>
  <r>
    <x v="2"/>
    <x v="3"/>
    <x v="1"/>
    <x v="3"/>
    <x v="0"/>
    <x v="0"/>
    <n v="487"/>
    <n v="218.32"/>
    <n v="106321.84"/>
    <n v="70367.520000000004"/>
    <n v="35954.32"/>
    <x v="13"/>
  </r>
  <r>
    <x v="1"/>
    <x v="2"/>
    <x v="0"/>
    <x v="7"/>
    <x v="4"/>
    <x v="1"/>
    <n v="156"/>
    <n v="261.77"/>
    <n v="40836.120000000003"/>
    <n v="27005.8"/>
    <n v="13830.32"/>
    <x v="13"/>
  </r>
  <r>
    <x v="3"/>
    <x v="8"/>
    <x v="0"/>
    <x v="2"/>
    <x v="4"/>
    <x v="0"/>
    <n v="56"/>
    <n v="54.79"/>
    <n v="3068.24"/>
    <n v="1860.46"/>
    <n v="1207.78"/>
    <x v="13"/>
  </r>
  <r>
    <x v="1"/>
    <x v="15"/>
    <x v="1"/>
    <x v="11"/>
    <x v="3"/>
    <x v="1"/>
    <n v="142"/>
    <n v="240.98"/>
    <n v="34219.160000000003"/>
    <n v="24461.11"/>
    <n v="9758.0499999999993"/>
    <x v="13"/>
  </r>
  <r>
    <x v="0"/>
    <x v="13"/>
    <x v="0"/>
    <x v="9"/>
    <x v="3"/>
    <x v="2"/>
    <n v="302"/>
    <n v="281.62"/>
    <n v="85049.24"/>
    <n v="51866.080000000002"/>
    <n v="33183.160000000003"/>
    <x v="13"/>
  </r>
  <r>
    <x v="2"/>
    <x v="4"/>
    <x v="0"/>
    <x v="1"/>
    <x v="1"/>
    <x v="0"/>
    <n v="234"/>
    <n v="185.78"/>
    <n v="43472.52"/>
    <n v="29247.71"/>
    <n v="14224.81"/>
    <x v="13"/>
  </r>
  <r>
    <x v="3"/>
    <x v="7"/>
    <x v="0"/>
    <x v="9"/>
    <x v="1"/>
    <x v="2"/>
    <n v="394"/>
    <n v="128.72999999999999"/>
    <n v="50719.62"/>
    <n v="40713.64"/>
    <n v="10005.98"/>
    <x v="13"/>
  </r>
  <r>
    <x v="1"/>
    <x v="2"/>
    <x v="0"/>
    <x v="0"/>
    <x v="1"/>
    <x v="2"/>
    <n v="50"/>
    <n v="80.19"/>
    <n v="4009.5"/>
    <n v="3394.71"/>
    <n v="614.79"/>
    <x v="13"/>
  </r>
  <r>
    <x v="3"/>
    <x v="7"/>
    <x v="0"/>
    <x v="0"/>
    <x v="3"/>
    <x v="0"/>
    <n v="276"/>
    <n v="23.01"/>
    <n v="6350.76"/>
    <n v="4525.8599999999997"/>
    <n v="1824.9"/>
    <x v="13"/>
  </r>
  <r>
    <x v="2"/>
    <x v="4"/>
    <x v="1"/>
    <x v="8"/>
    <x v="3"/>
    <x v="2"/>
    <n v="303"/>
    <n v="255.23"/>
    <n v="77334.69"/>
    <n v="59789.24"/>
    <n v="17545.45"/>
    <x v="13"/>
  </r>
  <r>
    <x v="3"/>
    <x v="8"/>
    <x v="0"/>
    <x v="1"/>
    <x v="2"/>
    <x v="0"/>
    <n v="337"/>
    <n v="40.19"/>
    <n v="13544.03"/>
    <n v="10834.94"/>
    <n v="2709.09"/>
    <x v="13"/>
  </r>
  <r>
    <x v="0"/>
    <x v="9"/>
    <x v="1"/>
    <x v="10"/>
    <x v="4"/>
    <x v="1"/>
    <n v="488"/>
    <n v="239.6"/>
    <n v="116924.8"/>
    <n v="87576.35"/>
    <n v="29348.45"/>
    <x v="13"/>
  </r>
  <r>
    <x v="2"/>
    <x v="14"/>
    <x v="1"/>
    <x v="3"/>
    <x v="1"/>
    <x v="0"/>
    <n v="491"/>
    <n v="162.72"/>
    <n v="79895.520000000004"/>
    <n v="52852.28"/>
    <n v="27043.24"/>
    <x v="13"/>
  </r>
  <r>
    <x v="0"/>
    <x v="10"/>
    <x v="0"/>
    <x v="7"/>
    <x v="3"/>
    <x v="2"/>
    <n v="237"/>
    <n v="186.29"/>
    <n v="44150.73"/>
    <n v="34932.980000000003"/>
    <n v="9217.75"/>
    <x v="13"/>
  </r>
  <r>
    <x v="3"/>
    <x v="11"/>
    <x v="1"/>
    <x v="10"/>
    <x v="4"/>
    <x v="0"/>
    <n v="63"/>
    <n v="159.6"/>
    <n v="10054.799999999999"/>
    <n v="6705.53"/>
    <n v="3349.27"/>
    <x v="13"/>
  </r>
  <r>
    <x v="1"/>
    <x v="2"/>
    <x v="0"/>
    <x v="9"/>
    <x v="0"/>
    <x v="2"/>
    <n v="254"/>
    <n v="175.89"/>
    <n v="44676.06"/>
    <n v="32531.63"/>
    <n v="12144.43"/>
    <x v="14"/>
  </r>
  <r>
    <x v="1"/>
    <x v="2"/>
    <x v="1"/>
    <x v="6"/>
    <x v="4"/>
    <x v="1"/>
    <n v="274"/>
    <n v="182.74"/>
    <n v="50070.76"/>
    <n v="35945.5"/>
    <n v="14125.26"/>
    <x v="14"/>
  </r>
  <r>
    <x v="2"/>
    <x v="16"/>
    <x v="1"/>
    <x v="3"/>
    <x v="0"/>
    <x v="0"/>
    <n v="151"/>
    <n v="272.05"/>
    <n v="41079.550000000003"/>
    <n v="27038.18"/>
    <n v="14041.37"/>
    <x v="14"/>
  </r>
  <r>
    <x v="2"/>
    <x v="16"/>
    <x v="1"/>
    <x v="8"/>
    <x v="0"/>
    <x v="0"/>
    <n v="69"/>
    <n v="101.16"/>
    <n v="6980.04"/>
    <n v="5010.22"/>
    <n v="1969.82"/>
    <x v="14"/>
  </r>
  <r>
    <x v="0"/>
    <x v="0"/>
    <x v="0"/>
    <x v="7"/>
    <x v="2"/>
    <x v="1"/>
    <n v="14"/>
    <n v="17.649999999999999"/>
    <n v="247.1"/>
    <n v="171.52"/>
    <n v="75.58"/>
    <x v="14"/>
  </r>
  <r>
    <x v="1"/>
    <x v="6"/>
    <x v="1"/>
    <x v="5"/>
    <x v="4"/>
    <x v="1"/>
    <n v="477"/>
    <n v="147.72"/>
    <n v="70462.44"/>
    <n v="49015.9"/>
    <n v="21446.54"/>
    <x v="14"/>
  </r>
  <r>
    <x v="1"/>
    <x v="1"/>
    <x v="1"/>
    <x v="4"/>
    <x v="2"/>
    <x v="1"/>
    <n v="425"/>
    <n v="282.95999999999998"/>
    <n v="120258"/>
    <n v="74331.960000000006"/>
    <n v="45926.04"/>
    <x v="14"/>
  </r>
  <r>
    <x v="1"/>
    <x v="2"/>
    <x v="1"/>
    <x v="11"/>
    <x v="4"/>
    <x v="1"/>
    <n v="197"/>
    <n v="134.72999999999999"/>
    <n v="26541.81"/>
    <n v="21921.93"/>
    <n v="4619.88"/>
    <x v="14"/>
  </r>
  <r>
    <x v="2"/>
    <x v="4"/>
    <x v="0"/>
    <x v="9"/>
    <x v="3"/>
    <x v="0"/>
    <n v="136"/>
    <n v="191.59"/>
    <n v="26056.240000000002"/>
    <n v="19094.77"/>
    <n v="6961.47"/>
    <x v="14"/>
  </r>
  <r>
    <x v="3"/>
    <x v="5"/>
    <x v="1"/>
    <x v="8"/>
    <x v="2"/>
    <x v="0"/>
    <n v="201"/>
    <n v="206.06"/>
    <n v="41418.06"/>
    <n v="29468.52"/>
    <n v="11949.54"/>
    <x v="14"/>
  </r>
  <r>
    <x v="3"/>
    <x v="7"/>
    <x v="0"/>
    <x v="0"/>
    <x v="4"/>
    <x v="1"/>
    <n v="408"/>
    <n v="128.87"/>
    <n v="52578.96"/>
    <n v="42586.36"/>
    <n v="9992.6"/>
    <x v="14"/>
  </r>
  <r>
    <x v="2"/>
    <x v="12"/>
    <x v="0"/>
    <x v="0"/>
    <x v="0"/>
    <x v="2"/>
    <n v="204"/>
    <n v="215.94"/>
    <n v="44051.76"/>
    <n v="36754.35"/>
    <n v="7297.41"/>
    <x v="14"/>
  </r>
  <r>
    <x v="0"/>
    <x v="9"/>
    <x v="0"/>
    <x v="9"/>
    <x v="2"/>
    <x v="1"/>
    <n v="334"/>
    <n v="158.03"/>
    <n v="52782.02"/>
    <n v="39937.42"/>
    <n v="12844.6"/>
    <x v="14"/>
  </r>
  <r>
    <x v="3"/>
    <x v="8"/>
    <x v="0"/>
    <x v="2"/>
    <x v="3"/>
    <x v="1"/>
    <n v="21"/>
    <n v="224.52"/>
    <n v="4714.92"/>
    <n v="3205.75"/>
    <n v="1509.17"/>
    <x v="14"/>
  </r>
  <r>
    <x v="0"/>
    <x v="0"/>
    <x v="1"/>
    <x v="4"/>
    <x v="4"/>
    <x v="2"/>
    <n v="224"/>
    <n v="67.709999999999994"/>
    <n v="15167.04"/>
    <n v="10686.45"/>
    <n v="4480.59"/>
    <x v="14"/>
  </r>
  <r>
    <x v="2"/>
    <x v="12"/>
    <x v="0"/>
    <x v="7"/>
    <x v="3"/>
    <x v="0"/>
    <n v="421"/>
    <n v="196.42"/>
    <n v="82692.820000000007"/>
    <n v="66358.100000000006"/>
    <n v="16334.72"/>
    <x v="14"/>
  </r>
  <r>
    <x v="3"/>
    <x v="5"/>
    <x v="1"/>
    <x v="4"/>
    <x v="0"/>
    <x v="2"/>
    <n v="337"/>
    <n v="240.7"/>
    <n v="81115.899999999994"/>
    <n v="67299.38"/>
    <n v="13816.52"/>
    <x v="14"/>
  </r>
  <r>
    <x v="2"/>
    <x v="16"/>
    <x v="1"/>
    <x v="5"/>
    <x v="2"/>
    <x v="0"/>
    <n v="436"/>
    <n v="176.63"/>
    <n v="77010.679999999993"/>
    <n v="57114.5"/>
    <n v="19896.18"/>
    <x v="14"/>
  </r>
  <r>
    <x v="0"/>
    <x v="0"/>
    <x v="1"/>
    <x v="5"/>
    <x v="0"/>
    <x v="0"/>
    <n v="463"/>
    <n v="258.16000000000003"/>
    <n v="119528.08"/>
    <n v="78505.429999999993"/>
    <n v="41022.65"/>
    <x v="14"/>
  </r>
  <r>
    <x v="2"/>
    <x v="12"/>
    <x v="0"/>
    <x v="2"/>
    <x v="2"/>
    <x v="0"/>
    <n v="330"/>
    <n v="50.26"/>
    <n v="16585.8"/>
    <n v="9962.7199999999993"/>
    <n v="6623.08"/>
    <x v="14"/>
  </r>
  <r>
    <x v="0"/>
    <x v="0"/>
    <x v="1"/>
    <x v="4"/>
    <x v="4"/>
    <x v="2"/>
    <n v="161"/>
    <n v="222.58"/>
    <n v="35835.379999999997"/>
    <n v="26236.68"/>
    <n v="9598.7000000000007"/>
    <x v="14"/>
  </r>
  <r>
    <x v="2"/>
    <x v="4"/>
    <x v="1"/>
    <x v="5"/>
    <x v="4"/>
    <x v="1"/>
    <n v="87"/>
    <n v="168.51"/>
    <n v="14660.37"/>
    <n v="10382.530000000001"/>
    <n v="4277.84"/>
    <x v="14"/>
  </r>
  <r>
    <x v="1"/>
    <x v="2"/>
    <x v="0"/>
    <x v="9"/>
    <x v="2"/>
    <x v="0"/>
    <n v="209"/>
    <n v="132.84"/>
    <n v="27763.56"/>
    <n v="18656.62"/>
    <n v="9106.94"/>
    <x v="14"/>
  </r>
  <r>
    <x v="2"/>
    <x v="16"/>
    <x v="0"/>
    <x v="0"/>
    <x v="0"/>
    <x v="0"/>
    <n v="470"/>
    <n v="87.44"/>
    <n v="41096.800000000003"/>
    <n v="33685.300000000003"/>
    <n v="7411.5"/>
    <x v="14"/>
  </r>
  <r>
    <x v="2"/>
    <x v="14"/>
    <x v="0"/>
    <x v="7"/>
    <x v="1"/>
    <x v="0"/>
    <n v="372"/>
    <n v="122.52"/>
    <n v="45577.440000000002"/>
    <n v="29169.85"/>
    <n v="16407.59"/>
    <x v="15"/>
  </r>
  <r>
    <x v="1"/>
    <x v="2"/>
    <x v="1"/>
    <x v="10"/>
    <x v="2"/>
    <x v="0"/>
    <n v="43"/>
    <n v="113.87"/>
    <n v="4896.41"/>
    <n v="3076.85"/>
    <n v="1819.56"/>
    <x v="15"/>
  </r>
  <r>
    <x v="0"/>
    <x v="0"/>
    <x v="0"/>
    <x v="7"/>
    <x v="3"/>
    <x v="1"/>
    <n v="397"/>
    <n v="110.24"/>
    <n v="43765.279999999999"/>
    <n v="36071.22"/>
    <n v="7694.06"/>
    <x v="15"/>
  </r>
  <r>
    <x v="2"/>
    <x v="14"/>
    <x v="0"/>
    <x v="0"/>
    <x v="2"/>
    <x v="1"/>
    <n v="434"/>
    <n v="188.98"/>
    <n v="82017.320000000007"/>
    <n v="58281.71"/>
    <n v="23735.61"/>
    <x v="15"/>
  </r>
  <r>
    <x v="2"/>
    <x v="12"/>
    <x v="0"/>
    <x v="0"/>
    <x v="2"/>
    <x v="1"/>
    <n v="492"/>
    <n v="286.22000000000003"/>
    <n v="140820.24"/>
    <n v="92474.1"/>
    <n v="48346.14"/>
    <x v="15"/>
  </r>
  <r>
    <x v="3"/>
    <x v="8"/>
    <x v="1"/>
    <x v="6"/>
    <x v="4"/>
    <x v="1"/>
    <n v="320"/>
    <n v="161.18"/>
    <n v="51577.599999999999"/>
    <n v="32064.57"/>
    <n v="19513.03"/>
    <x v="15"/>
  </r>
  <r>
    <x v="1"/>
    <x v="1"/>
    <x v="1"/>
    <x v="5"/>
    <x v="1"/>
    <x v="2"/>
    <n v="372"/>
    <n v="54.47"/>
    <n v="20262.84"/>
    <n v="15127.37"/>
    <n v="5135.47"/>
    <x v="15"/>
  </r>
  <r>
    <x v="1"/>
    <x v="6"/>
    <x v="0"/>
    <x v="7"/>
    <x v="0"/>
    <x v="0"/>
    <n v="319"/>
    <n v="224.03"/>
    <n v="71465.570000000007"/>
    <n v="44358.66"/>
    <n v="27106.91"/>
    <x v="15"/>
  </r>
  <r>
    <x v="1"/>
    <x v="1"/>
    <x v="0"/>
    <x v="7"/>
    <x v="0"/>
    <x v="1"/>
    <n v="102"/>
    <n v="131.34"/>
    <n v="13396.68"/>
    <n v="8719.83"/>
    <n v="4676.8500000000004"/>
    <x v="15"/>
  </r>
  <r>
    <x v="1"/>
    <x v="15"/>
    <x v="0"/>
    <x v="0"/>
    <x v="1"/>
    <x v="2"/>
    <n v="154"/>
    <n v="79.91"/>
    <n v="12306.14"/>
    <n v="8014.51"/>
    <n v="4291.63"/>
    <x v="15"/>
  </r>
  <r>
    <x v="3"/>
    <x v="7"/>
    <x v="0"/>
    <x v="9"/>
    <x v="1"/>
    <x v="0"/>
    <n v="460"/>
    <n v="243.01"/>
    <n v="111784.6"/>
    <n v="93039.11"/>
    <n v="18745.490000000002"/>
    <x v="15"/>
  </r>
  <r>
    <x v="3"/>
    <x v="7"/>
    <x v="1"/>
    <x v="8"/>
    <x v="4"/>
    <x v="2"/>
    <n v="209"/>
    <n v="198.75"/>
    <n v="41538.75"/>
    <n v="30457.85"/>
    <n v="11080.9"/>
    <x v="15"/>
  </r>
  <r>
    <x v="2"/>
    <x v="14"/>
    <x v="0"/>
    <x v="1"/>
    <x v="2"/>
    <x v="2"/>
    <n v="63"/>
    <n v="115.03"/>
    <n v="7246.89"/>
    <n v="5658.24"/>
    <n v="1588.65"/>
    <x v="15"/>
  </r>
  <r>
    <x v="1"/>
    <x v="2"/>
    <x v="1"/>
    <x v="10"/>
    <x v="4"/>
    <x v="1"/>
    <n v="393"/>
    <n v="246.38"/>
    <n v="96827.34"/>
    <n v="72983.08"/>
    <n v="23844.26"/>
    <x v="15"/>
  </r>
  <r>
    <x v="1"/>
    <x v="1"/>
    <x v="0"/>
    <x v="1"/>
    <x v="3"/>
    <x v="0"/>
    <n v="231"/>
    <n v="172.3"/>
    <n v="39801.300000000003"/>
    <n v="25425.47"/>
    <n v="14375.83"/>
    <x v="15"/>
  </r>
  <r>
    <x v="0"/>
    <x v="13"/>
    <x v="1"/>
    <x v="10"/>
    <x v="1"/>
    <x v="0"/>
    <n v="328"/>
    <n v="123.72"/>
    <n v="40580.160000000003"/>
    <n v="26169.1"/>
    <n v="14411.06"/>
    <x v="15"/>
  </r>
  <r>
    <x v="1"/>
    <x v="6"/>
    <x v="0"/>
    <x v="0"/>
    <x v="3"/>
    <x v="0"/>
    <n v="382"/>
    <n v="92.61"/>
    <n v="35377.019999999997"/>
    <n v="23943.96"/>
    <n v="11433.06"/>
    <x v="15"/>
  </r>
  <r>
    <x v="1"/>
    <x v="2"/>
    <x v="1"/>
    <x v="6"/>
    <x v="3"/>
    <x v="1"/>
    <n v="129"/>
    <n v="243.64"/>
    <n v="31429.56"/>
    <n v="23457.09"/>
    <n v="7972.47"/>
    <x v="15"/>
  </r>
  <r>
    <x v="0"/>
    <x v="13"/>
    <x v="1"/>
    <x v="10"/>
    <x v="3"/>
    <x v="0"/>
    <n v="388"/>
    <n v="124.91"/>
    <n v="48465.08"/>
    <n v="38266.07"/>
    <n v="10199.01"/>
    <x v="15"/>
  </r>
  <r>
    <x v="3"/>
    <x v="7"/>
    <x v="0"/>
    <x v="0"/>
    <x v="1"/>
    <x v="1"/>
    <n v="121"/>
    <n v="72.67"/>
    <n v="8793.07"/>
    <n v="5490.31"/>
    <n v="3302.76"/>
    <x v="15"/>
  </r>
  <r>
    <x v="1"/>
    <x v="2"/>
    <x v="1"/>
    <x v="5"/>
    <x v="1"/>
    <x v="2"/>
    <n v="322"/>
    <n v="98.14"/>
    <n v="31601.08"/>
    <n v="24120.81"/>
    <n v="7480.27"/>
    <x v="15"/>
  </r>
  <r>
    <x v="3"/>
    <x v="7"/>
    <x v="1"/>
    <x v="6"/>
    <x v="3"/>
    <x v="1"/>
    <n v="82"/>
    <n v="36.76"/>
    <n v="3014.32"/>
    <n v="2171.17"/>
    <n v="843.15"/>
    <x v="15"/>
  </r>
  <r>
    <x v="1"/>
    <x v="1"/>
    <x v="0"/>
    <x v="1"/>
    <x v="1"/>
    <x v="0"/>
    <n v="351"/>
    <n v="86.18"/>
    <n v="30249.18"/>
    <n v="20203.189999999999"/>
    <n v="10045.99"/>
    <x v="15"/>
  </r>
  <r>
    <x v="1"/>
    <x v="2"/>
    <x v="0"/>
    <x v="1"/>
    <x v="3"/>
    <x v="2"/>
    <n v="303"/>
    <n v="279.31"/>
    <n v="84630.93"/>
    <n v="66876.509999999995"/>
    <n v="17754.419999999998"/>
    <x v="15"/>
  </r>
  <r>
    <x v="3"/>
    <x v="11"/>
    <x v="1"/>
    <x v="3"/>
    <x v="1"/>
    <x v="1"/>
    <n v="262"/>
    <n v="296.01"/>
    <n v="77554.62"/>
    <n v="56936.54"/>
    <n v="20618.080000000002"/>
    <x v="15"/>
  </r>
  <r>
    <x v="0"/>
    <x v="13"/>
    <x v="1"/>
    <x v="5"/>
    <x v="0"/>
    <x v="2"/>
    <n v="280"/>
    <n v="42.13"/>
    <n v="11796.4"/>
    <n v="8842.9699999999993"/>
    <n v="2953.43"/>
    <x v="15"/>
  </r>
  <r>
    <x v="3"/>
    <x v="11"/>
    <x v="0"/>
    <x v="2"/>
    <x v="3"/>
    <x v="2"/>
    <n v="457"/>
    <n v="58.35"/>
    <n v="26665.95"/>
    <n v="21856.94"/>
    <n v="4809.01"/>
    <x v="15"/>
  </r>
  <r>
    <x v="0"/>
    <x v="13"/>
    <x v="0"/>
    <x v="9"/>
    <x v="3"/>
    <x v="1"/>
    <n v="414"/>
    <n v="17.489999999999998"/>
    <n v="7240.86"/>
    <n v="4589.2"/>
    <n v="2651.66"/>
    <x v="15"/>
  </r>
  <r>
    <x v="2"/>
    <x v="14"/>
    <x v="0"/>
    <x v="9"/>
    <x v="0"/>
    <x v="2"/>
    <n v="475"/>
    <n v="159.55000000000001"/>
    <n v="75786.25"/>
    <n v="62891.07"/>
    <n v="12895.18"/>
    <x v="15"/>
  </r>
  <r>
    <x v="0"/>
    <x v="10"/>
    <x v="0"/>
    <x v="7"/>
    <x v="2"/>
    <x v="2"/>
    <n v="391"/>
    <n v="87.19"/>
    <n v="34091.29"/>
    <n v="20642.509999999998"/>
    <n v="13448.78"/>
    <x v="15"/>
  </r>
  <r>
    <x v="1"/>
    <x v="15"/>
    <x v="0"/>
    <x v="2"/>
    <x v="0"/>
    <x v="2"/>
    <n v="291"/>
    <n v="186.19"/>
    <n v="54181.29"/>
    <n v="35818.620000000003"/>
    <n v="18362.669999999998"/>
    <x v="15"/>
  </r>
  <r>
    <x v="0"/>
    <x v="0"/>
    <x v="0"/>
    <x v="9"/>
    <x v="4"/>
    <x v="2"/>
    <n v="224"/>
    <n v="240.65"/>
    <n v="53905.599999999999"/>
    <n v="42384.15"/>
    <n v="11521.45"/>
    <x v="15"/>
  </r>
  <r>
    <x v="2"/>
    <x v="14"/>
    <x v="0"/>
    <x v="1"/>
    <x v="3"/>
    <x v="0"/>
    <n v="56"/>
    <n v="66.790000000000006"/>
    <n v="3740.24"/>
    <n v="3082.85"/>
    <n v="657.39"/>
    <x v="16"/>
  </r>
  <r>
    <x v="1"/>
    <x v="6"/>
    <x v="0"/>
    <x v="1"/>
    <x v="0"/>
    <x v="1"/>
    <n v="93"/>
    <n v="181.96"/>
    <n v="16922.28"/>
    <n v="10845.17"/>
    <n v="6077.11"/>
    <x v="16"/>
  </r>
  <r>
    <x v="2"/>
    <x v="16"/>
    <x v="0"/>
    <x v="9"/>
    <x v="2"/>
    <x v="1"/>
    <n v="409"/>
    <n v="125.18"/>
    <n v="51198.62"/>
    <n v="39270.43"/>
    <n v="11928.19"/>
    <x v="16"/>
  </r>
  <r>
    <x v="3"/>
    <x v="8"/>
    <x v="1"/>
    <x v="10"/>
    <x v="0"/>
    <x v="1"/>
    <n v="270"/>
    <n v="201.49"/>
    <n v="54402.3"/>
    <n v="43037.29"/>
    <n v="11365.01"/>
    <x v="16"/>
  </r>
  <r>
    <x v="0"/>
    <x v="13"/>
    <x v="0"/>
    <x v="7"/>
    <x v="2"/>
    <x v="0"/>
    <n v="39"/>
    <n v="190.41"/>
    <n v="7425.99"/>
    <n v="6056.57"/>
    <n v="1369.42"/>
    <x v="16"/>
  </r>
  <r>
    <x v="1"/>
    <x v="1"/>
    <x v="1"/>
    <x v="6"/>
    <x v="3"/>
    <x v="1"/>
    <n v="110"/>
    <n v="290.14999999999998"/>
    <n v="31916.5"/>
    <n v="25222.32"/>
    <n v="6694.18"/>
    <x v="16"/>
  </r>
  <r>
    <x v="1"/>
    <x v="1"/>
    <x v="0"/>
    <x v="9"/>
    <x v="4"/>
    <x v="1"/>
    <n v="188"/>
    <n v="81.99"/>
    <n v="15414.12"/>
    <n v="11474.39"/>
    <n v="3939.73"/>
    <x v="16"/>
  </r>
  <r>
    <x v="1"/>
    <x v="15"/>
    <x v="0"/>
    <x v="0"/>
    <x v="0"/>
    <x v="1"/>
    <n v="299"/>
    <n v="58.39"/>
    <n v="17458.61"/>
    <n v="12354.28"/>
    <n v="5104.33"/>
    <x v="16"/>
  </r>
  <r>
    <x v="2"/>
    <x v="14"/>
    <x v="0"/>
    <x v="0"/>
    <x v="4"/>
    <x v="1"/>
    <n v="365"/>
    <n v="285.17"/>
    <n v="104087.05"/>
    <n v="63269.88"/>
    <n v="40817.17"/>
    <x v="16"/>
  </r>
  <r>
    <x v="1"/>
    <x v="2"/>
    <x v="0"/>
    <x v="7"/>
    <x v="3"/>
    <x v="1"/>
    <n v="102"/>
    <n v="59.47"/>
    <n v="6065.94"/>
    <n v="5077.3599999999997"/>
    <n v="988.58"/>
    <x v="16"/>
  </r>
  <r>
    <x v="1"/>
    <x v="15"/>
    <x v="0"/>
    <x v="1"/>
    <x v="0"/>
    <x v="2"/>
    <n v="158"/>
    <n v="45.2"/>
    <n v="7141.6"/>
    <n v="4826.43"/>
    <n v="2315.17"/>
    <x v="16"/>
  </r>
  <r>
    <x v="2"/>
    <x v="4"/>
    <x v="0"/>
    <x v="9"/>
    <x v="1"/>
    <x v="2"/>
    <n v="129"/>
    <n v="23.27"/>
    <n v="3001.83"/>
    <n v="2455.15"/>
    <n v="546.67999999999995"/>
    <x v="16"/>
  </r>
  <r>
    <x v="0"/>
    <x v="0"/>
    <x v="1"/>
    <x v="6"/>
    <x v="1"/>
    <x v="2"/>
    <n v="152"/>
    <n v="227.46"/>
    <n v="34573.919999999998"/>
    <n v="24311.3"/>
    <n v="10262.620000000001"/>
    <x v="16"/>
  </r>
  <r>
    <x v="0"/>
    <x v="13"/>
    <x v="1"/>
    <x v="10"/>
    <x v="1"/>
    <x v="0"/>
    <n v="375"/>
    <n v="162.71"/>
    <n v="61016.25"/>
    <n v="48824.44"/>
    <n v="12191.81"/>
    <x v="16"/>
  </r>
  <r>
    <x v="0"/>
    <x v="10"/>
    <x v="1"/>
    <x v="8"/>
    <x v="2"/>
    <x v="2"/>
    <n v="239"/>
    <n v="231.07"/>
    <n v="55225.73"/>
    <n v="39416.239999999998"/>
    <n v="15809.49"/>
    <x v="16"/>
  </r>
  <r>
    <x v="2"/>
    <x v="4"/>
    <x v="0"/>
    <x v="1"/>
    <x v="2"/>
    <x v="1"/>
    <n v="169"/>
    <n v="117.64"/>
    <n v="19881.16"/>
    <n v="14916.21"/>
    <n v="4964.95"/>
    <x v="16"/>
  </r>
  <r>
    <x v="1"/>
    <x v="6"/>
    <x v="1"/>
    <x v="3"/>
    <x v="4"/>
    <x v="2"/>
    <n v="497"/>
    <n v="241.29"/>
    <n v="119921.13"/>
    <n v="90417.89"/>
    <n v="29503.24"/>
    <x v="16"/>
  </r>
  <r>
    <x v="1"/>
    <x v="1"/>
    <x v="0"/>
    <x v="9"/>
    <x v="1"/>
    <x v="0"/>
    <n v="167"/>
    <n v="151.36000000000001"/>
    <n v="25277.119999999999"/>
    <n v="20819.2"/>
    <n v="4457.92"/>
    <x v="16"/>
  </r>
  <r>
    <x v="3"/>
    <x v="11"/>
    <x v="1"/>
    <x v="11"/>
    <x v="3"/>
    <x v="0"/>
    <n v="255"/>
    <n v="49.15"/>
    <n v="12533.25"/>
    <n v="9035.7099999999991"/>
    <n v="3497.54"/>
    <x v="16"/>
  </r>
  <r>
    <x v="0"/>
    <x v="9"/>
    <x v="0"/>
    <x v="7"/>
    <x v="1"/>
    <x v="2"/>
    <n v="466"/>
    <n v="123.36"/>
    <n v="57485.760000000002"/>
    <n v="43034.94"/>
    <n v="14450.82"/>
    <x v="16"/>
  </r>
  <r>
    <x v="1"/>
    <x v="15"/>
    <x v="0"/>
    <x v="1"/>
    <x v="0"/>
    <x v="0"/>
    <n v="273"/>
    <n v="180.1"/>
    <n v="49167.3"/>
    <n v="36438.61"/>
    <n v="12728.69"/>
    <x v="16"/>
  </r>
  <r>
    <x v="2"/>
    <x v="16"/>
    <x v="1"/>
    <x v="5"/>
    <x v="3"/>
    <x v="2"/>
    <n v="399"/>
    <n v="65.13"/>
    <n v="25986.87"/>
    <n v="20741.39"/>
    <n v="5245.48"/>
    <x v="16"/>
  </r>
  <r>
    <x v="1"/>
    <x v="15"/>
    <x v="0"/>
    <x v="0"/>
    <x v="3"/>
    <x v="0"/>
    <n v="265"/>
    <n v="168.06"/>
    <n v="44535.9"/>
    <n v="37684.83"/>
    <n v="6851.07"/>
    <x v="16"/>
  </r>
  <r>
    <x v="0"/>
    <x v="10"/>
    <x v="1"/>
    <x v="5"/>
    <x v="2"/>
    <x v="0"/>
    <n v="63"/>
    <n v="291.04000000000002"/>
    <n v="18335.52"/>
    <n v="15052.48"/>
    <n v="3283.04"/>
    <x v="16"/>
  </r>
  <r>
    <x v="2"/>
    <x v="3"/>
    <x v="0"/>
    <x v="9"/>
    <x v="4"/>
    <x v="2"/>
    <n v="44"/>
    <n v="187.95"/>
    <n v="8269.7999999999993"/>
    <n v="5145.07"/>
    <n v="3124.73"/>
    <x v="16"/>
  </r>
  <r>
    <x v="3"/>
    <x v="11"/>
    <x v="1"/>
    <x v="5"/>
    <x v="3"/>
    <x v="1"/>
    <n v="308"/>
    <n v="161.22"/>
    <n v="49655.76"/>
    <n v="41925.699999999997"/>
    <n v="7730.06"/>
    <x v="16"/>
  </r>
  <r>
    <x v="2"/>
    <x v="3"/>
    <x v="1"/>
    <x v="8"/>
    <x v="1"/>
    <x v="0"/>
    <n v="428"/>
    <n v="111.17"/>
    <n v="47580.76"/>
    <n v="39605.379999999997"/>
    <n v="7975.38"/>
    <x v="16"/>
  </r>
  <r>
    <x v="1"/>
    <x v="6"/>
    <x v="0"/>
    <x v="9"/>
    <x v="3"/>
    <x v="2"/>
    <n v="299"/>
    <n v="58.24"/>
    <n v="17413.759999999998"/>
    <n v="13135.86"/>
    <n v="4277.8999999999996"/>
    <x v="16"/>
  </r>
  <r>
    <x v="3"/>
    <x v="7"/>
    <x v="1"/>
    <x v="10"/>
    <x v="0"/>
    <x v="2"/>
    <n v="376"/>
    <n v="151.71"/>
    <n v="57042.96"/>
    <n v="45212.36"/>
    <n v="11830.6"/>
    <x v="16"/>
  </r>
  <r>
    <x v="3"/>
    <x v="7"/>
    <x v="0"/>
    <x v="7"/>
    <x v="2"/>
    <x v="0"/>
    <n v="195"/>
    <n v="258.57"/>
    <n v="50421.15"/>
    <n v="37505.21"/>
    <n v="12915.94"/>
    <x v="16"/>
  </r>
  <r>
    <x v="2"/>
    <x v="14"/>
    <x v="1"/>
    <x v="11"/>
    <x v="0"/>
    <x v="1"/>
    <n v="328"/>
    <n v="119.41"/>
    <n v="39166.480000000003"/>
    <n v="23525.3"/>
    <n v="15641.18"/>
    <x v="16"/>
  </r>
  <r>
    <x v="2"/>
    <x v="4"/>
    <x v="0"/>
    <x v="2"/>
    <x v="3"/>
    <x v="2"/>
    <n v="49"/>
    <n v="252.44"/>
    <n v="12369.56"/>
    <n v="8150.9"/>
    <n v="4218.66"/>
    <x v="16"/>
  </r>
  <r>
    <x v="0"/>
    <x v="13"/>
    <x v="1"/>
    <x v="5"/>
    <x v="2"/>
    <x v="0"/>
    <n v="468"/>
    <n v="220.2"/>
    <n v="103053.6"/>
    <n v="77117.039999999994"/>
    <n v="25936.560000000001"/>
    <x v="16"/>
  </r>
  <r>
    <x v="3"/>
    <x v="5"/>
    <x v="1"/>
    <x v="6"/>
    <x v="3"/>
    <x v="1"/>
    <n v="34"/>
    <n v="176.8"/>
    <n v="6011.2"/>
    <n v="4327.09"/>
    <n v="1684.11"/>
    <x v="16"/>
  </r>
  <r>
    <x v="1"/>
    <x v="1"/>
    <x v="0"/>
    <x v="0"/>
    <x v="0"/>
    <x v="0"/>
    <n v="290"/>
    <n v="230.73"/>
    <n v="66911.7"/>
    <n v="42824.69"/>
    <n v="24087.01"/>
    <x v="16"/>
  </r>
  <r>
    <x v="0"/>
    <x v="0"/>
    <x v="1"/>
    <x v="3"/>
    <x v="0"/>
    <x v="2"/>
    <n v="35"/>
    <n v="171.81"/>
    <n v="6013.35"/>
    <n v="4438.62"/>
    <n v="1574.73"/>
    <x v="16"/>
  </r>
  <r>
    <x v="2"/>
    <x v="3"/>
    <x v="1"/>
    <x v="11"/>
    <x v="0"/>
    <x v="2"/>
    <n v="49"/>
    <n v="23.82"/>
    <n v="1167.18"/>
    <n v="912.37"/>
    <n v="254.81"/>
    <x v="16"/>
  </r>
  <r>
    <x v="0"/>
    <x v="13"/>
    <x v="1"/>
    <x v="10"/>
    <x v="2"/>
    <x v="1"/>
    <n v="143"/>
    <n v="50.97"/>
    <n v="7288.71"/>
    <n v="4759.5"/>
    <n v="2529.21"/>
    <x v="16"/>
  </r>
  <r>
    <x v="3"/>
    <x v="8"/>
    <x v="0"/>
    <x v="7"/>
    <x v="1"/>
    <x v="0"/>
    <n v="285"/>
    <n v="73.87"/>
    <n v="21052.95"/>
    <n v="15202.2"/>
    <n v="5850.75"/>
    <x v="16"/>
  </r>
  <r>
    <x v="2"/>
    <x v="4"/>
    <x v="0"/>
    <x v="2"/>
    <x v="4"/>
    <x v="0"/>
    <n v="158"/>
    <n v="207.84"/>
    <n v="32838.720000000001"/>
    <n v="23546.63"/>
    <n v="9292.09"/>
    <x v="16"/>
  </r>
  <r>
    <x v="3"/>
    <x v="5"/>
    <x v="1"/>
    <x v="4"/>
    <x v="0"/>
    <x v="0"/>
    <n v="343"/>
    <n v="264.07"/>
    <n v="90576.01"/>
    <n v="60635.040000000001"/>
    <n v="29940.97"/>
    <x v="17"/>
  </r>
  <r>
    <x v="2"/>
    <x v="16"/>
    <x v="0"/>
    <x v="9"/>
    <x v="3"/>
    <x v="1"/>
    <n v="313"/>
    <n v="121.68"/>
    <n v="38085.839999999997"/>
    <n v="31095.38"/>
    <n v="6990.46"/>
    <x v="17"/>
  </r>
  <r>
    <x v="3"/>
    <x v="8"/>
    <x v="1"/>
    <x v="11"/>
    <x v="4"/>
    <x v="2"/>
    <n v="388"/>
    <n v="241.94"/>
    <n v="93872.72"/>
    <n v="64523.11"/>
    <n v="29349.61"/>
    <x v="17"/>
  </r>
  <r>
    <x v="3"/>
    <x v="5"/>
    <x v="0"/>
    <x v="2"/>
    <x v="2"/>
    <x v="1"/>
    <n v="210"/>
    <n v="253.44"/>
    <n v="53222.400000000001"/>
    <n v="44996.86"/>
    <n v="8225.5400000000009"/>
    <x v="17"/>
  </r>
  <r>
    <x v="3"/>
    <x v="5"/>
    <x v="0"/>
    <x v="7"/>
    <x v="4"/>
    <x v="0"/>
    <n v="25"/>
    <n v="133.78"/>
    <n v="3344.5"/>
    <n v="2739.7"/>
    <n v="604.79999999999995"/>
    <x v="17"/>
  </r>
  <r>
    <x v="2"/>
    <x v="14"/>
    <x v="0"/>
    <x v="2"/>
    <x v="2"/>
    <x v="1"/>
    <n v="259"/>
    <n v="143.82"/>
    <n v="37249.379999999997"/>
    <n v="29155.26"/>
    <n v="8094.12"/>
    <x v="17"/>
  </r>
  <r>
    <x v="3"/>
    <x v="7"/>
    <x v="0"/>
    <x v="0"/>
    <x v="4"/>
    <x v="0"/>
    <n v="135"/>
    <n v="254.18"/>
    <n v="34314.300000000003"/>
    <n v="26837.99"/>
    <n v="7476.31"/>
    <x v="17"/>
  </r>
  <r>
    <x v="3"/>
    <x v="8"/>
    <x v="1"/>
    <x v="10"/>
    <x v="0"/>
    <x v="0"/>
    <n v="55"/>
    <n v="70.05"/>
    <n v="3852.75"/>
    <n v="2380.19"/>
    <n v="1472.56"/>
    <x v="17"/>
  </r>
  <r>
    <x v="0"/>
    <x v="13"/>
    <x v="1"/>
    <x v="6"/>
    <x v="2"/>
    <x v="0"/>
    <n v="450"/>
    <n v="190.5"/>
    <n v="85725"/>
    <n v="68179.7"/>
    <n v="17545.3"/>
    <x v="17"/>
  </r>
  <r>
    <x v="2"/>
    <x v="14"/>
    <x v="1"/>
    <x v="6"/>
    <x v="3"/>
    <x v="1"/>
    <n v="85"/>
    <n v="230.05"/>
    <n v="19554.25"/>
    <n v="13113.55"/>
    <n v="6440.7"/>
    <x v="17"/>
  </r>
  <r>
    <x v="0"/>
    <x v="0"/>
    <x v="1"/>
    <x v="11"/>
    <x v="2"/>
    <x v="0"/>
    <n v="423"/>
    <n v="279.20999999999998"/>
    <n v="118105.83"/>
    <n v="90822.86"/>
    <n v="27282.97"/>
    <x v="17"/>
  </r>
  <r>
    <x v="2"/>
    <x v="12"/>
    <x v="1"/>
    <x v="8"/>
    <x v="3"/>
    <x v="2"/>
    <n v="178"/>
    <n v="66.62"/>
    <n v="11858.36"/>
    <n v="8138.81"/>
    <n v="3719.55"/>
    <x v="17"/>
  </r>
  <r>
    <x v="3"/>
    <x v="7"/>
    <x v="1"/>
    <x v="10"/>
    <x v="3"/>
    <x v="2"/>
    <n v="24"/>
    <n v="243.15"/>
    <n v="5835.6"/>
    <n v="4286.83"/>
    <n v="1548.77"/>
    <x v="17"/>
  </r>
  <r>
    <x v="0"/>
    <x v="9"/>
    <x v="0"/>
    <x v="2"/>
    <x v="4"/>
    <x v="2"/>
    <n v="441"/>
    <n v="91.4"/>
    <n v="40307.4"/>
    <n v="26270.27"/>
    <n v="14037.13"/>
    <x v="17"/>
  </r>
  <r>
    <x v="1"/>
    <x v="2"/>
    <x v="1"/>
    <x v="6"/>
    <x v="1"/>
    <x v="2"/>
    <n v="23"/>
    <n v="33.47"/>
    <n v="769.81"/>
    <n v="539.44000000000005"/>
    <n v="230.37"/>
    <x v="17"/>
  </r>
  <r>
    <x v="3"/>
    <x v="11"/>
    <x v="0"/>
    <x v="1"/>
    <x v="1"/>
    <x v="1"/>
    <n v="351"/>
    <n v="49.7"/>
    <n v="17444.7"/>
    <n v="14391.96"/>
    <n v="3052.74"/>
    <x v="17"/>
  </r>
  <r>
    <x v="0"/>
    <x v="10"/>
    <x v="1"/>
    <x v="10"/>
    <x v="0"/>
    <x v="2"/>
    <n v="219"/>
    <n v="81.78"/>
    <n v="17909.82"/>
    <n v="11474.89"/>
    <n v="6434.93"/>
    <x v="17"/>
  </r>
  <r>
    <x v="1"/>
    <x v="6"/>
    <x v="0"/>
    <x v="9"/>
    <x v="3"/>
    <x v="1"/>
    <n v="440"/>
    <n v="53.96"/>
    <n v="23742.400000000001"/>
    <n v="14429.07"/>
    <n v="9313.33"/>
    <x v="18"/>
  </r>
  <r>
    <x v="3"/>
    <x v="8"/>
    <x v="1"/>
    <x v="3"/>
    <x v="2"/>
    <x v="0"/>
    <n v="416"/>
    <n v="141.6"/>
    <n v="58905.599999999999"/>
    <n v="38819.53"/>
    <n v="20086.07"/>
    <x v="18"/>
  </r>
  <r>
    <x v="2"/>
    <x v="4"/>
    <x v="1"/>
    <x v="6"/>
    <x v="2"/>
    <x v="1"/>
    <n v="219"/>
    <n v="198.72"/>
    <n v="43519.68"/>
    <n v="35623.32"/>
    <n v="7896.36"/>
    <x v="18"/>
  </r>
  <r>
    <x v="2"/>
    <x v="14"/>
    <x v="0"/>
    <x v="0"/>
    <x v="3"/>
    <x v="0"/>
    <n v="284"/>
    <n v="101.23"/>
    <n v="28749.32"/>
    <n v="23052.86"/>
    <n v="5696.46"/>
    <x v="18"/>
  </r>
  <r>
    <x v="3"/>
    <x v="7"/>
    <x v="0"/>
    <x v="2"/>
    <x v="3"/>
    <x v="1"/>
    <n v="465"/>
    <n v="244.4"/>
    <n v="113646"/>
    <n v="75399.039999999994"/>
    <n v="38246.959999999999"/>
    <x v="18"/>
  </r>
  <r>
    <x v="2"/>
    <x v="3"/>
    <x v="1"/>
    <x v="10"/>
    <x v="3"/>
    <x v="1"/>
    <n v="249"/>
    <n v="96.05"/>
    <n v="23916.45"/>
    <n v="18645.439999999999"/>
    <n v="5271.01"/>
    <x v="18"/>
  </r>
  <r>
    <x v="1"/>
    <x v="1"/>
    <x v="1"/>
    <x v="3"/>
    <x v="3"/>
    <x v="0"/>
    <n v="20"/>
    <n v="272.08"/>
    <n v="5441.6"/>
    <n v="4610.6499999999996"/>
    <n v="830.95"/>
    <x v="18"/>
  </r>
  <r>
    <x v="3"/>
    <x v="8"/>
    <x v="1"/>
    <x v="5"/>
    <x v="2"/>
    <x v="2"/>
    <n v="205"/>
    <n v="175.27"/>
    <n v="35930.35"/>
    <n v="28407.06"/>
    <n v="7523.29"/>
    <x v="18"/>
  </r>
  <r>
    <x v="1"/>
    <x v="6"/>
    <x v="0"/>
    <x v="7"/>
    <x v="1"/>
    <x v="1"/>
    <n v="12"/>
    <n v="145.52000000000001"/>
    <n v="1746.24"/>
    <n v="1177.4000000000001"/>
    <n v="568.84"/>
    <x v="18"/>
  </r>
  <r>
    <x v="1"/>
    <x v="15"/>
    <x v="1"/>
    <x v="3"/>
    <x v="2"/>
    <x v="1"/>
    <n v="123"/>
    <n v="251.52"/>
    <n v="30936.959999999999"/>
    <n v="25570.07"/>
    <n v="5366.89"/>
    <x v="18"/>
  </r>
  <r>
    <x v="0"/>
    <x v="9"/>
    <x v="0"/>
    <x v="1"/>
    <x v="4"/>
    <x v="2"/>
    <n v="417"/>
    <n v="113.43"/>
    <n v="47300.31"/>
    <n v="37337.47"/>
    <n v="9962.84"/>
    <x v="18"/>
  </r>
  <r>
    <x v="3"/>
    <x v="11"/>
    <x v="0"/>
    <x v="9"/>
    <x v="1"/>
    <x v="1"/>
    <n v="442"/>
    <n v="155.99"/>
    <n v="68947.58"/>
    <n v="53268.81"/>
    <n v="15678.77"/>
    <x v="18"/>
  </r>
  <r>
    <x v="1"/>
    <x v="15"/>
    <x v="0"/>
    <x v="1"/>
    <x v="0"/>
    <x v="2"/>
    <n v="14"/>
    <n v="78.349999999999994"/>
    <n v="1096.9000000000001"/>
    <n v="831.93"/>
    <n v="264.97000000000003"/>
    <x v="18"/>
  </r>
  <r>
    <x v="1"/>
    <x v="1"/>
    <x v="0"/>
    <x v="9"/>
    <x v="3"/>
    <x v="1"/>
    <n v="21"/>
    <n v="110.8"/>
    <n v="2326.8000000000002"/>
    <n v="1782.86"/>
    <n v="543.94000000000005"/>
    <x v="18"/>
  </r>
  <r>
    <x v="0"/>
    <x v="0"/>
    <x v="1"/>
    <x v="4"/>
    <x v="4"/>
    <x v="1"/>
    <n v="48"/>
    <n v="103.4"/>
    <n v="4963.2"/>
    <n v="3240.28"/>
    <n v="1722.92"/>
    <x v="18"/>
  </r>
  <r>
    <x v="2"/>
    <x v="16"/>
    <x v="0"/>
    <x v="9"/>
    <x v="3"/>
    <x v="1"/>
    <n v="150"/>
    <n v="228.49"/>
    <n v="34273.5"/>
    <n v="27152.52"/>
    <n v="7120.98"/>
    <x v="18"/>
  </r>
  <r>
    <x v="1"/>
    <x v="15"/>
    <x v="1"/>
    <x v="3"/>
    <x v="1"/>
    <x v="1"/>
    <n v="275"/>
    <n v="180.6"/>
    <n v="49665"/>
    <n v="42207.22"/>
    <n v="7457.78"/>
    <x v="18"/>
  </r>
  <r>
    <x v="2"/>
    <x v="3"/>
    <x v="0"/>
    <x v="7"/>
    <x v="4"/>
    <x v="1"/>
    <n v="260"/>
    <n v="47.73"/>
    <n v="12409.8"/>
    <n v="9798.35"/>
    <n v="2611.4499999999998"/>
    <x v="18"/>
  </r>
  <r>
    <x v="2"/>
    <x v="14"/>
    <x v="1"/>
    <x v="3"/>
    <x v="4"/>
    <x v="2"/>
    <n v="240"/>
    <n v="148.16999999999999"/>
    <n v="35560.800000000003"/>
    <n v="23345.919999999998"/>
    <n v="12214.88"/>
    <x v="18"/>
  </r>
  <r>
    <x v="3"/>
    <x v="7"/>
    <x v="1"/>
    <x v="3"/>
    <x v="0"/>
    <x v="1"/>
    <n v="122"/>
    <n v="163.65"/>
    <n v="19965.3"/>
    <n v="15509.2"/>
    <n v="4456.1000000000004"/>
    <x v="18"/>
  </r>
  <r>
    <x v="3"/>
    <x v="7"/>
    <x v="0"/>
    <x v="1"/>
    <x v="1"/>
    <x v="2"/>
    <n v="482"/>
    <n v="261.89999999999998"/>
    <n v="126235.8"/>
    <n v="100250.06"/>
    <n v="25985.74"/>
    <x v="18"/>
  </r>
  <r>
    <x v="0"/>
    <x v="10"/>
    <x v="0"/>
    <x v="9"/>
    <x v="3"/>
    <x v="2"/>
    <n v="332"/>
    <n v="159.54"/>
    <n v="52967.28"/>
    <n v="37915.22"/>
    <n v="15052.06"/>
    <x v="18"/>
  </r>
  <r>
    <x v="1"/>
    <x v="15"/>
    <x v="0"/>
    <x v="7"/>
    <x v="2"/>
    <x v="1"/>
    <n v="26"/>
    <n v="201.02"/>
    <n v="5226.5200000000004"/>
    <n v="4367.84"/>
    <n v="858.68"/>
    <x v="18"/>
  </r>
  <r>
    <x v="0"/>
    <x v="9"/>
    <x v="0"/>
    <x v="9"/>
    <x v="3"/>
    <x v="2"/>
    <n v="490"/>
    <n v="77.34"/>
    <n v="37896.6"/>
    <n v="31260.66"/>
    <n v="6635.94"/>
    <x v="18"/>
  </r>
  <r>
    <x v="3"/>
    <x v="8"/>
    <x v="1"/>
    <x v="6"/>
    <x v="3"/>
    <x v="0"/>
    <n v="22"/>
    <n v="182.14"/>
    <n v="4007.08"/>
    <n v="3084.55"/>
    <n v="922.53"/>
    <x v="18"/>
  </r>
  <r>
    <x v="3"/>
    <x v="8"/>
    <x v="0"/>
    <x v="9"/>
    <x v="4"/>
    <x v="0"/>
    <n v="223"/>
    <n v="64.47"/>
    <n v="14376.81"/>
    <n v="11213.16"/>
    <n v="3163.65"/>
    <x v="18"/>
  </r>
  <r>
    <x v="2"/>
    <x v="14"/>
    <x v="1"/>
    <x v="11"/>
    <x v="3"/>
    <x v="1"/>
    <n v="139"/>
    <n v="136.9"/>
    <n v="19029.099999999999"/>
    <n v="12629"/>
    <n v="6400.1"/>
    <x v="18"/>
  </r>
  <r>
    <x v="2"/>
    <x v="16"/>
    <x v="1"/>
    <x v="10"/>
    <x v="1"/>
    <x v="2"/>
    <n v="314"/>
    <n v="194.58"/>
    <n v="61098.12"/>
    <n v="38934.769999999997"/>
    <n v="22163.35"/>
    <x v="18"/>
  </r>
  <r>
    <x v="3"/>
    <x v="8"/>
    <x v="1"/>
    <x v="6"/>
    <x v="4"/>
    <x v="0"/>
    <n v="345"/>
    <n v="282.55"/>
    <n v="97479.75"/>
    <n v="76348.55"/>
    <n v="21131.200000000001"/>
    <x v="18"/>
  </r>
  <r>
    <x v="2"/>
    <x v="12"/>
    <x v="1"/>
    <x v="5"/>
    <x v="1"/>
    <x v="0"/>
    <n v="346"/>
    <n v="279.58999999999997"/>
    <n v="96738.14"/>
    <n v="76969.259999999995"/>
    <n v="19768.88"/>
    <x v="18"/>
  </r>
  <r>
    <x v="3"/>
    <x v="7"/>
    <x v="1"/>
    <x v="5"/>
    <x v="1"/>
    <x v="1"/>
    <n v="218"/>
    <n v="87.92"/>
    <n v="19166.560000000001"/>
    <n v="14095.25"/>
    <n v="5071.3100000000004"/>
    <x v="18"/>
  </r>
  <r>
    <x v="3"/>
    <x v="7"/>
    <x v="1"/>
    <x v="6"/>
    <x v="2"/>
    <x v="1"/>
    <n v="333"/>
    <n v="217.51"/>
    <n v="72430.83"/>
    <n v="54125.9"/>
    <n v="18304.93"/>
    <x v="18"/>
  </r>
  <r>
    <x v="2"/>
    <x v="14"/>
    <x v="1"/>
    <x v="6"/>
    <x v="3"/>
    <x v="1"/>
    <n v="282"/>
    <n v="180.58"/>
    <n v="50923.56"/>
    <n v="36677.35"/>
    <n v="14246.21"/>
    <x v="18"/>
  </r>
  <r>
    <x v="1"/>
    <x v="6"/>
    <x v="1"/>
    <x v="5"/>
    <x v="4"/>
    <x v="1"/>
    <n v="158"/>
    <n v="230.12"/>
    <n v="36358.959999999999"/>
    <n v="28397.29"/>
    <n v="7961.67"/>
    <x v="18"/>
  </r>
  <r>
    <x v="0"/>
    <x v="9"/>
    <x v="1"/>
    <x v="6"/>
    <x v="3"/>
    <x v="1"/>
    <n v="192"/>
    <n v="263.52"/>
    <n v="50595.839999999997"/>
    <n v="36600.35"/>
    <n v="13995.49"/>
    <x v="18"/>
  </r>
  <r>
    <x v="1"/>
    <x v="2"/>
    <x v="0"/>
    <x v="1"/>
    <x v="1"/>
    <x v="0"/>
    <n v="275"/>
    <n v="36.590000000000003"/>
    <n v="10062.25"/>
    <n v="6883.51"/>
    <n v="3178.74"/>
    <x v="18"/>
  </r>
  <r>
    <x v="3"/>
    <x v="11"/>
    <x v="1"/>
    <x v="3"/>
    <x v="2"/>
    <x v="2"/>
    <n v="176"/>
    <n v="203.59"/>
    <n v="35831.839999999997"/>
    <n v="22354.91"/>
    <n v="13476.93"/>
    <x v="19"/>
  </r>
  <r>
    <x v="1"/>
    <x v="2"/>
    <x v="0"/>
    <x v="2"/>
    <x v="4"/>
    <x v="2"/>
    <n v="138"/>
    <n v="131.15"/>
    <n v="18098.7"/>
    <n v="15312"/>
    <n v="2786.7"/>
    <x v="19"/>
  </r>
  <r>
    <x v="3"/>
    <x v="8"/>
    <x v="0"/>
    <x v="9"/>
    <x v="1"/>
    <x v="0"/>
    <n v="274"/>
    <n v="120.14"/>
    <n v="32918.36"/>
    <n v="26855.9"/>
    <n v="6062.46"/>
    <x v="19"/>
  </r>
  <r>
    <x v="0"/>
    <x v="10"/>
    <x v="1"/>
    <x v="8"/>
    <x v="4"/>
    <x v="2"/>
    <n v="188"/>
    <n v="35.89"/>
    <n v="6747.32"/>
    <n v="5207.28"/>
    <n v="1540.04"/>
    <x v="19"/>
  </r>
  <r>
    <x v="3"/>
    <x v="8"/>
    <x v="1"/>
    <x v="4"/>
    <x v="0"/>
    <x v="2"/>
    <n v="64"/>
    <n v="55.28"/>
    <n v="3537.92"/>
    <n v="2756.02"/>
    <n v="781.9"/>
    <x v="19"/>
  </r>
  <r>
    <x v="2"/>
    <x v="3"/>
    <x v="1"/>
    <x v="5"/>
    <x v="0"/>
    <x v="2"/>
    <n v="399"/>
    <n v="106.87"/>
    <n v="42641.13"/>
    <n v="33395.46"/>
    <n v="9245.67"/>
    <x v="19"/>
  </r>
  <r>
    <x v="1"/>
    <x v="1"/>
    <x v="0"/>
    <x v="7"/>
    <x v="1"/>
    <x v="0"/>
    <n v="361"/>
    <n v="152.66"/>
    <n v="55110.26"/>
    <n v="37233.15"/>
    <n v="17877.11"/>
    <x v="19"/>
  </r>
  <r>
    <x v="2"/>
    <x v="14"/>
    <x v="0"/>
    <x v="0"/>
    <x v="1"/>
    <x v="1"/>
    <n v="229"/>
    <n v="276.04000000000002"/>
    <n v="63213.16"/>
    <n v="38011.65"/>
    <n v="25201.51"/>
    <x v="19"/>
  </r>
  <r>
    <x v="1"/>
    <x v="1"/>
    <x v="0"/>
    <x v="0"/>
    <x v="0"/>
    <x v="0"/>
    <n v="494"/>
    <n v="194.03"/>
    <n v="95850.82"/>
    <n v="76630.67"/>
    <n v="19220.150000000001"/>
    <x v="19"/>
  </r>
  <r>
    <x v="3"/>
    <x v="8"/>
    <x v="1"/>
    <x v="3"/>
    <x v="4"/>
    <x v="1"/>
    <n v="232"/>
    <n v="145.32"/>
    <n v="33714.239999999998"/>
    <n v="27112.34"/>
    <n v="6601.9"/>
    <x v="19"/>
  </r>
  <r>
    <x v="3"/>
    <x v="8"/>
    <x v="0"/>
    <x v="1"/>
    <x v="0"/>
    <x v="1"/>
    <n v="298"/>
    <n v="161.78"/>
    <n v="48210.44"/>
    <n v="30309.53"/>
    <n v="17900.91"/>
    <x v="19"/>
  </r>
  <r>
    <x v="0"/>
    <x v="13"/>
    <x v="1"/>
    <x v="3"/>
    <x v="4"/>
    <x v="2"/>
    <n v="434"/>
    <n v="132.38999999999999"/>
    <n v="57457.26"/>
    <n v="38712.410000000003"/>
    <n v="18744.849999999999"/>
    <x v="19"/>
  </r>
  <r>
    <x v="2"/>
    <x v="12"/>
    <x v="1"/>
    <x v="8"/>
    <x v="4"/>
    <x v="0"/>
    <n v="347"/>
    <n v="84.44"/>
    <n v="29300.68"/>
    <n v="22453.79"/>
    <n v="6846.89"/>
    <x v="19"/>
  </r>
  <r>
    <x v="2"/>
    <x v="16"/>
    <x v="1"/>
    <x v="5"/>
    <x v="4"/>
    <x v="0"/>
    <n v="282"/>
    <n v="77.47"/>
    <n v="21846.54"/>
    <n v="14313.87"/>
    <n v="7532.67"/>
    <x v="19"/>
  </r>
  <r>
    <x v="0"/>
    <x v="10"/>
    <x v="0"/>
    <x v="0"/>
    <x v="2"/>
    <x v="0"/>
    <n v="71"/>
    <n v="240.43"/>
    <n v="17070.53"/>
    <n v="10390.280000000001"/>
    <n v="6680.25"/>
    <x v="19"/>
  </r>
  <r>
    <x v="1"/>
    <x v="2"/>
    <x v="0"/>
    <x v="0"/>
    <x v="3"/>
    <x v="1"/>
    <n v="464"/>
    <n v="166.97"/>
    <n v="77474.080000000002"/>
    <n v="65136.18"/>
    <n v="12337.9"/>
    <x v="19"/>
  </r>
  <r>
    <x v="3"/>
    <x v="5"/>
    <x v="0"/>
    <x v="1"/>
    <x v="2"/>
    <x v="0"/>
    <n v="301"/>
    <n v="97.91"/>
    <n v="29470.91"/>
    <n v="19621.09"/>
    <n v="9849.82"/>
    <x v="19"/>
  </r>
  <r>
    <x v="1"/>
    <x v="15"/>
    <x v="1"/>
    <x v="5"/>
    <x v="3"/>
    <x v="0"/>
    <n v="182"/>
    <n v="62.81"/>
    <n v="11431.42"/>
    <n v="9115.7000000000007"/>
    <n v="2315.7199999999998"/>
    <x v="19"/>
  </r>
  <r>
    <x v="1"/>
    <x v="6"/>
    <x v="0"/>
    <x v="2"/>
    <x v="0"/>
    <x v="0"/>
    <n v="327"/>
    <n v="187.55"/>
    <n v="61328.85"/>
    <n v="44224.21"/>
    <n v="17104.64"/>
    <x v="20"/>
  </r>
  <r>
    <x v="1"/>
    <x v="6"/>
    <x v="1"/>
    <x v="11"/>
    <x v="3"/>
    <x v="2"/>
    <n v="215"/>
    <n v="209.58"/>
    <n v="45059.7"/>
    <n v="31512.26"/>
    <n v="13547.44"/>
    <x v="20"/>
  </r>
  <r>
    <x v="0"/>
    <x v="0"/>
    <x v="0"/>
    <x v="2"/>
    <x v="4"/>
    <x v="1"/>
    <n v="346"/>
    <n v="255.62"/>
    <n v="88444.52"/>
    <n v="72813.95"/>
    <n v="15630.57"/>
    <x v="20"/>
  </r>
  <r>
    <x v="3"/>
    <x v="11"/>
    <x v="1"/>
    <x v="10"/>
    <x v="3"/>
    <x v="1"/>
    <n v="228"/>
    <n v="172.53"/>
    <n v="39336.839999999997"/>
    <n v="24693.599999999999"/>
    <n v="14643.24"/>
    <x v="20"/>
  </r>
  <r>
    <x v="1"/>
    <x v="15"/>
    <x v="1"/>
    <x v="10"/>
    <x v="3"/>
    <x v="2"/>
    <n v="139"/>
    <n v="234.12"/>
    <n v="32542.68"/>
    <n v="21397.25"/>
    <n v="11145.43"/>
    <x v="20"/>
  </r>
  <r>
    <x v="1"/>
    <x v="1"/>
    <x v="0"/>
    <x v="9"/>
    <x v="4"/>
    <x v="1"/>
    <n v="182"/>
    <n v="253.05"/>
    <n v="46055.1"/>
    <n v="32289.02"/>
    <n v="13766.08"/>
    <x v="20"/>
  </r>
  <r>
    <x v="1"/>
    <x v="2"/>
    <x v="1"/>
    <x v="6"/>
    <x v="4"/>
    <x v="1"/>
    <n v="372"/>
    <n v="22.87"/>
    <n v="8507.64"/>
    <n v="5695.49"/>
    <n v="2812.15"/>
    <x v="20"/>
  </r>
  <r>
    <x v="2"/>
    <x v="14"/>
    <x v="0"/>
    <x v="0"/>
    <x v="1"/>
    <x v="2"/>
    <n v="84"/>
    <n v="224.6"/>
    <n v="18866.400000000001"/>
    <n v="15802.09"/>
    <n v="3064.31"/>
    <x v="20"/>
  </r>
  <r>
    <x v="1"/>
    <x v="15"/>
    <x v="1"/>
    <x v="8"/>
    <x v="1"/>
    <x v="0"/>
    <n v="367"/>
    <n v="274.82"/>
    <n v="100858.94"/>
    <n v="75269.75"/>
    <n v="25589.19"/>
    <x v="20"/>
  </r>
  <r>
    <x v="3"/>
    <x v="11"/>
    <x v="1"/>
    <x v="11"/>
    <x v="1"/>
    <x v="2"/>
    <n v="82"/>
    <n v="98.83"/>
    <n v="8104.06"/>
    <n v="6460.93"/>
    <n v="1643.13"/>
    <x v="20"/>
  </r>
  <r>
    <x v="3"/>
    <x v="5"/>
    <x v="0"/>
    <x v="2"/>
    <x v="3"/>
    <x v="1"/>
    <n v="304"/>
    <n v="264.94"/>
    <n v="80541.759999999995"/>
    <n v="67347.649999999994"/>
    <n v="13194.11"/>
    <x v="20"/>
  </r>
  <r>
    <x v="0"/>
    <x v="13"/>
    <x v="0"/>
    <x v="7"/>
    <x v="4"/>
    <x v="1"/>
    <n v="78"/>
    <n v="254.16"/>
    <n v="19824.48"/>
    <n v="12817.03"/>
    <n v="7007.45"/>
    <x v="20"/>
  </r>
  <r>
    <x v="2"/>
    <x v="4"/>
    <x v="1"/>
    <x v="5"/>
    <x v="4"/>
    <x v="1"/>
    <n v="160"/>
    <n v="18.690000000000001"/>
    <n v="2990.4"/>
    <n v="2024.45"/>
    <n v="965.95"/>
    <x v="20"/>
  </r>
  <r>
    <x v="1"/>
    <x v="15"/>
    <x v="1"/>
    <x v="3"/>
    <x v="3"/>
    <x v="0"/>
    <n v="468"/>
    <n v="89.25"/>
    <n v="41769"/>
    <n v="34990.559999999998"/>
    <n v="6778.44"/>
    <x v="20"/>
  </r>
  <r>
    <x v="3"/>
    <x v="11"/>
    <x v="0"/>
    <x v="2"/>
    <x v="1"/>
    <x v="0"/>
    <n v="313"/>
    <n v="255.68"/>
    <n v="80027.839999999997"/>
    <n v="66307.8"/>
    <n v="13720.04"/>
    <x v="20"/>
  </r>
  <r>
    <x v="1"/>
    <x v="1"/>
    <x v="0"/>
    <x v="0"/>
    <x v="3"/>
    <x v="2"/>
    <n v="109"/>
    <n v="123.96"/>
    <n v="13511.64"/>
    <n v="9883.1299999999992"/>
    <n v="3628.51"/>
    <x v="20"/>
  </r>
  <r>
    <x v="0"/>
    <x v="9"/>
    <x v="0"/>
    <x v="0"/>
    <x v="1"/>
    <x v="2"/>
    <n v="353"/>
    <n v="265.91000000000003"/>
    <n v="93866.23"/>
    <n v="58800"/>
    <n v="35066.230000000003"/>
    <x v="20"/>
  </r>
  <r>
    <x v="1"/>
    <x v="2"/>
    <x v="0"/>
    <x v="9"/>
    <x v="0"/>
    <x v="1"/>
    <n v="47"/>
    <n v="85.33"/>
    <n v="4010.51"/>
    <n v="3131.63"/>
    <n v="878.88"/>
    <x v="20"/>
  </r>
  <r>
    <x v="2"/>
    <x v="14"/>
    <x v="0"/>
    <x v="7"/>
    <x v="4"/>
    <x v="2"/>
    <n v="119"/>
    <n v="196.35"/>
    <n v="23365.65"/>
    <n v="18455.03"/>
    <n v="4910.62"/>
    <x v="20"/>
  </r>
  <r>
    <x v="3"/>
    <x v="5"/>
    <x v="0"/>
    <x v="0"/>
    <x v="3"/>
    <x v="1"/>
    <n v="452"/>
    <n v="91.6"/>
    <n v="41403.199999999997"/>
    <n v="27457.040000000001"/>
    <n v="13946.16"/>
    <x v="20"/>
  </r>
  <r>
    <x v="2"/>
    <x v="12"/>
    <x v="1"/>
    <x v="10"/>
    <x v="4"/>
    <x v="0"/>
    <n v="88"/>
    <n v="39.799999999999997"/>
    <n v="3502.4"/>
    <n v="2266.96"/>
    <n v="1235.44"/>
    <x v="20"/>
  </r>
  <r>
    <x v="2"/>
    <x v="4"/>
    <x v="1"/>
    <x v="11"/>
    <x v="2"/>
    <x v="0"/>
    <n v="225"/>
    <n v="279.93"/>
    <n v="62984.25"/>
    <n v="39770.21"/>
    <n v="23214.04"/>
    <x v="20"/>
  </r>
  <r>
    <x v="2"/>
    <x v="16"/>
    <x v="0"/>
    <x v="9"/>
    <x v="3"/>
    <x v="0"/>
    <n v="390"/>
    <n v="140.86000000000001"/>
    <n v="54935.4"/>
    <n v="46488.94"/>
    <n v="8446.4599999999991"/>
    <x v="20"/>
  </r>
  <r>
    <x v="3"/>
    <x v="8"/>
    <x v="1"/>
    <x v="10"/>
    <x v="4"/>
    <x v="2"/>
    <n v="152"/>
    <n v="265.82"/>
    <n v="40404.639999999999"/>
    <n v="28217.06"/>
    <n v="12187.58"/>
    <x v="20"/>
  </r>
  <r>
    <x v="2"/>
    <x v="3"/>
    <x v="1"/>
    <x v="3"/>
    <x v="0"/>
    <x v="2"/>
    <n v="187"/>
    <n v="37.090000000000003"/>
    <n v="6935.83"/>
    <n v="4926.3"/>
    <n v="2009.53"/>
    <x v="20"/>
  </r>
  <r>
    <x v="1"/>
    <x v="6"/>
    <x v="0"/>
    <x v="1"/>
    <x v="2"/>
    <x v="2"/>
    <n v="453"/>
    <n v="28.62"/>
    <n v="12964.86"/>
    <n v="9665.2099999999991"/>
    <n v="3299.65"/>
    <x v="20"/>
  </r>
  <r>
    <x v="3"/>
    <x v="8"/>
    <x v="0"/>
    <x v="9"/>
    <x v="0"/>
    <x v="0"/>
    <n v="257"/>
    <n v="48.94"/>
    <n v="12577.58"/>
    <n v="10558.67"/>
    <n v="2018.91"/>
    <x v="20"/>
  </r>
  <r>
    <x v="3"/>
    <x v="7"/>
    <x v="1"/>
    <x v="5"/>
    <x v="3"/>
    <x v="1"/>
    <n v="148"/>
    <n v="291.52"/>
    <n v="43144.959999999999"/>
    <n v="36051.019999999997"/>
    <n v="7093.94"/>
    <x v="20"/>
  </r>
  <r>
    <x v="3"/>
    <x v="11"/>
    <x v="0"/>
    <x v="1"/>
    <x v="0"/>
    <x v="0"/>
    <n v="297"/>
    <n v="89.51"/>
    <n v="26584.47"/>
    <n v="16478.509999999998"/>
    <n v="10105.959999999999"/>
    <x v="21"/>
  </r>
  <r>
    <x v="1"/>
    <x v="6"/>
    <x v="1"/>
    <x v="4"/>
    <x v="3"/>
    <x v="0"/>
    <n v="433"/>
    <n v="183.63"/>
    <n v="79511.789999999994"/>
    <n v="55591.86"/>
    <n v="23919.93"/>
    <x v="21"/>
  </r>
  <r>
    <x v="2"/>
    <x v="12"/>
    <x v="0"/>
    <x v="7"/>
    <x v="0"/>
    <x v="2"/>
    <n v="268"/>
    <n v="249.6"/>
    <n v="66892.800000000003"/>
    <n v="53527.11"/>
    <n v="13365.69"/>
    <x v="21"/>
  </r>
  <r>
    <x v="0"/>
    <x v="9"/>
    <x v="1"/>
    <x v="10"/>
    <x v="1"/>
    <x v="1"/>
    <n v="152"/>
    <n v="69.42"/>
    <n v="10551.84"/>
    <n v="8646.7800000000007"/>
    <n v="1905.06"/>
    <x v="21"/>
  </r>
  <r>
    <x v="0"/>
    <x v="9"/>
    <x v="1"/>
    <x v="8"/>
    <x v="3"/>
    <x v="1"/>
    <n v="266"/>
    <n v="140.34"/>
    <n v="37330.44"/>
    <n v="27884.76"/>
    <n v="9445.68"/>
    <x v="21"/>
  </r>
  <r>
    <x v="3"/>
    <x v="5"/>
    <x v="0"/>
    <x v="9"/>
    <x v="4"/>
    <x v="1"/>
    <n v="290"/>
    <n v="217.33"/>
    <n v="63025.7"/>
    <n v="46682.35"/>
    <n v="16343.35"/>
    <x v="21"/>
  </r>
  <r>
    <x v="0"/>
    <x v="0"/>
    <x v="0"/>
    <x v="0"/>
    <x v="1"/>
    <x v="2"/>
    <n v="301"/>
    <n v="233.59"/>
    <n v="70310.59"/>
    <n v="43386.02"/>
    <n v="26924.57"/>
    <x v="21"/>
  </r>
  <r>
    <x v="1"/>
    <x v="6"/>
    <x v="0"/>
    <x v="1"/>
    <x v="3"/>
    <x v="1"/>
    <n v="82"/>
    <n v="41.75"/>
    <n v="3423.5"/>
    <n v="2389.29"/>
    <n v="1034.21"/>
    <x v="21"/>
  </r>
  <r>
    <x v="0"/>
    <x v="13"/>
    <x v="1"/>
    <x v="5"/>
    <x v="1"/>
    <x v="1"/>
    <n v="298"/>
    <n v="12.18"/>
    <n v="3629.64"/>
    <n v="2382.25"/>
    <n v="1247.3900000000001"/>
    <x v="21"/>
  </r>
  <r>
    <x v="2"/>
    <x v="14"/>
    <x v="0"/>
    <x v="7"/>
    <x v="2"/>
    <x v="0"/>
    <n v="498"/>
    <n v="140.16"/>
    <n v="69799.679999999993"/>
    <n v="44654.78"/>
    <n v="25144.9"/>
    <x v="21"/>
  </r>
  <r>
    <x v="0"/>
    <x v="9"/>
    <x v="0"/>
    <x v="7"/>
    <x v="3"/>
    <x v="2"/>
    <n v="111"/>
    <n v="107.83"/>
    <n v="11969.13"/>
    <n v="7239.31"/>
    <n v="4729.82"/>
    <x v="21"/>
  </r>
  <r>
    <x v="1"/>
    <x v="6"/>
    <x v="0"/>
    <x v="7"/>
    <x v="0"/>
    <x v="2"/>
    <n v="203"/>
    <n v="164.99"/>
    <n v="33492.97"/>
    <n v="24124.05"/>
    <n v="9368.92"/>
    <x v="21"/>
  </r>
  <r>
    <x v="3"/>
    <x v="8"/>
    <x v="0"/>
    <x v="1"/>
    <x v="1"/>
    <x v="0"/>
    <n v="68"/>
    <n v="261.52"/>
    <n v="17783.36"/>
    <n v="13819.28"/>
    <n v="3964.08"/>
    <x v="21"/>
  </r>
  <r>
    <x v="0"/>
    <x v="10"/>
    <x v="1"/>
    <x v="5"/>
    <x v="1"/>
    <x v="2"/>
    <n v="312"/>
    <n v="175.48"/>
    <n v="54749.760000000002"/>
    <n v="33265.78"/>
    <n v="21483.98"/>
    <x v="21"/>
  </r>
  <r>
    <x v="2"/>
    <x v="4"/>
    <x v="0"/>
    <x v="2"/>
    <x v="0"/>
    <x v="2"/>
    <n v="471"/>
    <n v="233.53"/>
    <n v="109992.63"/>
    <n v="66074.81"/>
    <n v="43917.82"/>
    <x v="21"/>
  </r>
  <r>
    <x v="3"/>
    <x v="8"/>
    <x v="1"/>
    <x v="4"/>
    <x v="3"/>
    <x v="0"/>
    <n v="197"/>
    <n v="166.26"/>
    <n v="32753.22"/>
    <n v="20148.38"/>
    <n v="12604.84"/>
    <x v="21"/>
  </r>
  <r>
    <x v="2"/>
    <x v="4"/>
    <x v="1"/>
    <x v="5"/>
    <x v="0"/>
    <x v="0"/>
    <n v="373"/>
    <n v="220.67"/>
    <n v="82309.91"/>
    <n v="69794.89"/>
    <n v="12515.02"/>
    <x v="21"/>
  </r>
  <r>
    <x v="1"/>
    <x v="15"/>
    <x v="1"/>
    <x v="11"/>
    <x v="4"/>
    <x v="2"/>
    <n v="107"/>
    <n v="266.64999999999998"/>
    <n v="28531.55"/>
    <n v="20901.25"/>
    <n v="7630.3"/>
    <x v="21"/>
  </r>
  <r>
    <x v="1"/>
    <x v="1"/>
    <x v="0"/>
    <x v="0"/>
    <x v="4"/>
    <x v="0"/>
    <n v="178"/>
    <n v="10"/>
    <n v="1780"/>
    <n v="1253.3699999999999"/>
    <n v="526.63"/>
    <x v="21"/>
  </r>
  <r>
    <x v="1"/>
    <x v="15"/>
    <x v="1"/>
    <x v="5"/>
    <x v="4"/>
    <x v="2"/>
    <n v="381"/>
    <n v="276.27999999999997"/>
    <n v="105262.68"/>
    <n v="66072.03"/>
    <n v="39190.65"/>
    <x v="21"/>
  </r>
  <r>
    <x v="3"/>
    <x v="7"/>
    <x v="0"/>
    <x v="9"/>
    <x v="0"/>
    <x v="0"/>
    <n v="30"/>
    <n v="164.4"/>
    <n v="4932"/>
    <n v="3466.08"/>
    <n v="1465.92"/>
    <x v="21"/>
  </r>
  <r>
    <x v="3"/>
    <x v="11"/>
    <x v="0"/>
    <x v="7"/>
    <x v="1"/>
    <x v="1"/>
    <n v="281"/>
    <n v="234.15"/>
    <n v="65796.149999999994"/>
    <n v="48052.51"/>
    <n v="17743.64"/>
    <x v="21"/>
  </r>
  <r>
    <x v="3"/>
    <x v="7"/>
    <x v="1"/>
    <x v="8"/>
    <x v="0"/>
    <x v="1"/>
    <n v="481"/>
    <n v="108.1"/>
    <n v="51996.1"/>
    <n v="35210.44"/>
    <n v="16785.66"/>
    <x v="21"/>
  </r>
  <r>
    <x v="2"/>
    <x v="16"/>
    <x v="1"/>
    <x v="11"/>
    <x v="1"/>
    <x v="0"/>
    <n v="347"/>
    <n v="268.64"/>
    <n v="93218.08"/>
    <n v="66040.75"/>
    <n v="27177.33"/>
    <x v="21"/>
  </r>
  <r>
    <x v="2"/>
    <x v="3"/>
    <x v="1"/>
    <x v="10"/>
    <x v="1"/>
    <x v="0"/>
    <n v="148"/>
    <n v="173.36"/>
    <n v="25657.279999999999"/>
    <n v="18136.5"/>
    <n v="7520.78"/>
    <x v="21"/>
  </r>
  <r>
    <x v="1"/>
    <x v="1"/>
    <x v="1"/>
    <x v="5"/>
    <x v="0"/>
    <x v="0"/>
    <n v="167"/>
    <n v="264.61"/>
    <n v="44189.87"/>
    <n v="36103.75"/>
    <n v="8086.12"/>
    <x v="21"/>
  </r>
  <r>
    <x v="2"/>
    <x v="16"/>
    <x v="1"/>
    <x v="11"/>
    <x v="3"/>
    <x v="0"/>
    <n v="86"/>
    <n v="93.72"/>
    <n v="8059.92"/>
    <n v="5055.8100000000004"/>
    <n v="3004.11"/>
    <x v="21"/>
  </r>
  <r>
    <x v="3"/>
    <x v="5"/>
    <x v="1"/>
    <x v="5"/>
    <x v="4"/>
    <x v="1"/>
    <n v="78"/>
    <n v="199.71"/>
    <n v="15577.38"/>
    <n v="10117.89"/>
    <n v="5459.49"/>
    <x v="21"/>
  </r>
  <r>
    <x v="1"/>
    <x v="2"/>
    <x v="1"/>
    <x v="4"/>
    <x v="0"/>
    <x v="0"/>
    <n v="134"/>
    <n v="182.03"/>
    <n v="24392.02"/>
    <n v="20076.48"/>
    <n v="4315.54"/>
    <x v="21"/>
  </r>
  <r>
    <x v="1"/>
    <x v="6"/>
    <x v="0"/>
    <x v="2"/>
    <x v="1"/>
    <x v="2"/>
    <n v="302"/>
    <n v="110.32"/>
    <n v="33316.639999999999"/>
    <n v="23080.43"/>
    <n v="10236.209999999999"/>
    <x v="21"/>
  </r>
  <r>
    <x v="2"/>
    <x v="16"/>
    <x v="1"/>
    <x v="3"/>
    <x v="1"/>
    <x v="1"/>
    <n v="131"/>
    <n v="207.09"/>
    <n v="27128.79"/>
    <n v="16794.34"/>
    <n v="10334.450000000001"/>
    <x v="21"/>
  </r>
  <r>
    <x v="3"/>
    <x v="8"/>
    <x v="1"/>
    <x v="6"/>
    <x v="2"/>
    <x v="2"/>
    <n v="431"/>
    <n v="189.01"/>
    <n v="81463.31"/>
    <n v="68845.919999999998"/>
    <n v="12617.39"/>
    <x v="21"/>
  </r>
  <r>
    <x v="3"/>
    <x v="7"/>
    <x v="1"/>
    <x v="8"/>
    <x v="1"/>
    <x v="2"/>
    <n v="118"/>
    <n v="66.44"/>
    <n v="7839.92"/>
    <n v="4816.9399999999996"/>
    <n v="3022.98"/>
    <x v="21"/>
  </r>
  <r>
    <x v="1"/>
    <x v="2"/>
    <x v="0"/>
    <x v="2"/>
    <x v="3"/>
    <x v="2"/>
    <n v="161"/>
    <n v="20.32"/>
    <n v="3271.52"/>
    <n v="2378.87"/>
    <n v="892.65"/>
    <x v="21"/>
  </r>
  <r>
    <x v="3"/>
    <x v="5"/>
    <x v="1"/>
    <x v="4"/>
    <x v="1"/>
    <x v="2"/>
    <n v="444"/>
    <n v="113.29"/>
    <n v="50300.76"/>
    <n v="40577.81"/>
    <n v="9722.9500000000007"/>
    <x v="21"/>
  </r>
  <r>
    <x v="2"/>
    <x v="3"/>
    <x v="1"/>
    <x v="6"/>
    <x v="0"/>
    <x v="1"/>
    <n v="215"/>
    <n v="229.42"/>
    <n v="49325.3"/>
    <n v="32785.15"/>
    <n v="16540.150000000001"/>
    <x v="21"/>
  </r>
  <r>
    <x v="3"/>
    <x v="7"/>
    <x v="1"/>
    <x v="10"/>
    <x v="2"/>
    <x v="1"/>
    <n v="312"/>
    <n v="131.96"/>
    <n v="41171.519999999997"/>
    <n v="32779.410000000003"/>
    <n v="8392.11"/>
    <x v="21"/>
  </r>
  <r>
    <x v="3"/>
    <x v="8"/>
    <x v="0"/>
    <x v="1"/>
    <x v="1"/>
    <x v="1"/>
    <n v="96"/>
    <n v="128.02000000000001"/>
    <n v="12289.92"/>
    <n v="10113.01"/>
    <n v="2176.91"/>
    <x v="21"/>
  </r>
  <r>
    <x v="2"/>
    <x v="4"/>
    <x v="1"/>
    <x v="6"/>
    <x v="4"/>
    <x v="0"/>
    <n v="368"/>
    <n v="10.93"/>
    <n v="4022.24"/>
    <n v="3036.38"/>
    <n v="985.86"/>
    <x v="21"/>
  </r>
  <r>
    <x v="3"/>
    <x v="5"/>
    <x v="0"/>
    <x v="1"/>
    <x v="2"/>
    <x v="2"/>
    <n v="281"/>
    <n v="32.75"/>
    <n v="9202.75"/>
    <n v="6774.37"/>
    <n v="2428.38"/>
    <x v="21"/>
  </r>
  <r>
    <x v="3"/>
    <x v="11"/>
    <x v="1"/>
    <x v="10"/>
    <x v="0"/>
    <x v="2"/>
    <n v="322"/>
    <n v="153.4"/>
    <n v="49394.8"/>
    <n v="41733.06"/>
    <n v="7661.74"/>
    <x v="21"/>
  </r>
  <r>
    <x v="3"/>
    <x v="11"/>
    <x v="1"/>
    <x v="11"/>
    <x v="0"/>
    <x v="0"/>
    <n v="125"/>
    <n v="27.44"/>
    <n v="3430"/>
    <n v="2540.17"/>
    <n v="889.83"/>
    <x v="21"/>
  </r>
  <r>
    <x v="1"/>
    <x v="1"/>
    <x v="1"/>
    <x v="8"/>
    <x v="1"/>
    <x v="1"/>
    <n v="226"/>
    <n v="259.44"/>
    <n v="58633.440000000002"/>
    <n v="46611.4"/>
    <n v="12022.04"/>
    <x v="22"/>
  </r>
  <r>
    <x v="3"/>
    <x v="11"/>
    <x v="1"/>
    <x v="10"/>
    <x v="3"/>
    <x v="1"/>
    <n v="172"/>
    <n v="47.25"/>
    <n v="8127"/>
    <n v="5451.88"/>
    <n v="2675.12"/>
    <x v="22"/>
  </r>
  <r>
    <x v="2"/>
    <x v="4"/>
    <x v="0"/>
    <x v="1"/>
    <x v="3"/>
    <x v="1"/>
    <n v="150"/>
    <n v="10.130000000000001"/>
    <n v="1519.5"/>
    <n v="1254.1099999999999"/>
    <n v="265.39"/>
    <x v="22"/>
  </r>
  <r>
    <x v="1"/>
    <x v="15"/>
    <x v="0"/>
    <x v="2"/>
    <x v="3"/>
    <x v="1"/>
    <n v="314"/>
    <n v="168.25"/>
    <n v="52830.5"/>
    <n v="37568.03"/>
    <n v="15262.47"/>
    <x v="22"/>
  </r>
  <r>
    <x v="1"/>
    <x v="2"/>
    <x v="1"/>
    <x v="3"/>
    <x v="0"/>
    <x v="2"/>
    <n v="332"/>
    <n v="77.010000000000005"/>
    <n v="25567.32"/>
    <n v="19635.02"/>
    <n v="5932.3"/>
    <x v="22"/>
  </r>
  <r>
    <x v="3"/>
    <x v="5"/>
    <x v="0"/>
    <x v="9"/>
    <x v="2"/>
    <x v="2"/>
    <n v="371"/>
    <n v="291.74"/>
    <n v="108235.54"/>
    <n v="73907.199999999997"/>
    <n v="34328.339999999997"/>
    <x v="22"/>
  </r>
  <r>
    <x v="2"/>
    <x v="4"/>
    <x v="0"/>
    <x v="0"/>
    <x v="2"/>
    <x v="1"/>
    <n v="414"/>
    <n v="172.43"/>
    <n v="71386.02"/>
    <n v="56764.95"/>
    <n v="14621.07"/>
    <x v="22"/>
  </r>
  <r>
    <x v="1"/>
    <x v="15"/>
    <x v="0"/>
    <x v="1"/>
    <x v="3"/>
    <x v="1"/>
    <n v="374"/>
    <n v="291.89"/>
    <n v="109166.86"/>
    <n v="71735.91"/>
    <n v="37430.949999999997"/>
    <x v="22"/>
  </r>
  <r>
    <x v="3"/>
    <x v="11"/>
    <x v="0"/>
    <x v="2"/>
    <x v="3"/>
    <x v="1"/>
    <n v="410"/>
    <n v="52.97"/>
    <n v="21717.7"/>
    <n v="16720.189999999999"/>
    <n v="4997.51"/>
    <x v="22"/>
  </r>
  <r>
    <x v="0"/>
    <x v="13"/>
    <x v="0"/>
    <x v="0"/>
    <x v="1"/>
    <x v="2"/>
    <n v="365"/>
    <n v="189.4"/>
    <n v="69131"/>
    <n v="54487.61"/>
    <n v="14643.39"/>
    <x v="22"/>
  </r>
  <r>
    <x v="1"/>
    <x v="2"/>
    <x v="0"/>
    <x v="2"/>
    <x v="2"/>
    <x v="1"/>
    <n v="134"/>
    <n v="272.70999999999998"/>
    <n v="36543.14"/>
    <n v="28959.93"/>
    <n v="7583.21"/>
    <x v="22"/>
  </r>
  <r>
    <x v="1"/>
    <x v="2"/>
    <x v="0"/>
    <x v="1"/>
    <x v="1"/>
    <x v="0"/>
    <n v="466"/>
    <n v="117.93"/>
    <n v="54955.38"/>
    <n v="38909.47"/>
    <n v="16045.91"/>
    <x v="22"/>
  </r>
  <r>
    <x v="0"/>
    <x v="13"/>
    <x v="1"/>
    <x v="11"/>
    <x v="4"/>
    <x v="2"/>
    <n v="349"/>
    <n v="223.9"/>
    <n v="78141.100000000006"/>
    <n v="51549.24"/>
    <n v="26591.86"/>
    <x v="22"/>
  </r>
  <r>
    <x v="1"/>
    <x v="15"/>
    <x v="0"/>
    <x v="7"/>
    <x v="2"/>
    <x v="1"/>
    <n v="192"/>
    <n v="223.3"/>
    <n v="42873.599999999999"/>
    <n v="28252.18"/>
    <n v="14621.42"/>
    <x v="22"/>
  </r>
  <r>
    <x v="3"/>
    <x v="8"/>
    <x v="0"/>
    <x v="0"/>
    <x v="0"/>
    <x v="2"/>
    <n v="301"/>
    <n v="243.8"/>
    <n v="73383.8"/>
    <n v="57757.81"/>
    <n v="15625.99"/>
    <x v="22"/>
  </r>
  <r>
    <x v="1"/>
    <x v="15"/>
    <x v="1"/>
    <x v="8"/>
    <x v="1"/>
    <x v="0"/>
    <n v="283"/>
    <n v="207.33"/>
    <n v="58674.39"/>
    <n v="41006.730000000003"/>
    <n v="17667.66"/>
    <x v="22"/>
  </r>
  <r>
    <x v="0"/>
    <x v="10"/>
    <x v="1"/>
    <x v="10"/>
    <x v="2"/>
    <x v="0"/>
    <n v="302"/>
    <n v="15.33"/>
    <n v="4629.66"/>
    <n v="3836.02"/>
    <n v="793.64"/>
    <x v="22"/>
  </r>
  <r>
    <x v="0"/>
    <x v="13"/>
    <x v="1"/>
    <x v="4"/>
    <x v="0"/>
    <x v="1"/>
    <n v="48"/>
    <n v="56.62"/>
    <n v="2717.76"/>
    <n v="2186.42"/>
    <n v="531.34"/>
    <x v="22"/>
  </r>
  <r>
    <x v="3"/>
    <x v="5"/>
    <x v="1"/>
    <x v="11"/>
    <x v="4"/>
    <x v="1"/>
    <n v="416"/>
    <n v="253.8"/>
    <n v="105580.8"/>
    <n v="82690.92"/>
    <n v="22889.88"/>
    <x v="22"/>
  </r>
  <r>
    <x v="2"/>
    <x v="12"/>
    <x v="0"/>
    <x v="1"/>
    <x v="0"/>
    <x v="2"/>
    <n v="164"/>
    <n v="18.46"/>
    <n v="3027.44"/>
    <n v="2180.4299999999998"/>
    <n v="847.01"/>
    <x v="22"/>
  </r>
  <r>
    <x v="0"/>
    <x v="0"/>
    <x v="1"/>
    <x v="3"/>
    <x v="4"/>
    <x v="0"/>
    <n v="299"/>
    <n v="122.04"/>
    <n v="36489.96"/>
    <n v="26000.23"/>
    <n v="10489.73"/>
    <x v="22"/>
  </r>
  <r>
    <x v="1"/>
    <x v="1"/>
    <x v="1"/>
    <x v="6"/>
    <x v="4"/>
    <x v="0"/>
    <n v="303"/>
    <n v="164.46"/>
    <n v="49831.38"/>
    <n v="32919.49"/>
    <n v="16911.89"/>
    <x v="22"/>
  </r>
  <r>
    <x v="2"/>
    <x v="4"/>
    <x v="1"/>
    <x v="3"/>
    <x v="1"/>
    <x v="0"/>
    <n v="82"/>
    <n v="103.78"/>
    <n v="8509.9599999999991"/>
    <n v="5588.19"/>
    <n v="2921.77"/>
    <x v="22"/>
  </r>
  <r>
    <x v="1"/>
    <x v="6"/>
    <x v="1"/>
    <x v="5"/>
    <x v="0"/>
    <x v="0"/>
    <n v="44"/>
    <n v="267.64"/>
    <n v="11776.16"/>
    <n v="8840.7800000000007"/>
    <n v="2935.38"/>
    <x v="22"/>
  </r>
  <r>
    <x v="2"/>
    <x v="12"/>
    <x v="0"/>
    <x v="7"/>
    <x v="4"/>
    <x v="2"/>
    <n v="227"/>
    <n v="273.14"/>
    <n v="62002.78"/>
    <n v="40904.11"/>
    <n v="21098.67"/>
    <x v="22"/>
  </r>
  <r>
    <x v="2"/>
    <x v="12"/>
    <x v="0"/>
    <x v="2"/>
    <x v="3"/>
    <x v="2"/>
    <n v="389"/>
    <n v="92.62"/>
    <n v="36029.18"/>
    <n v="25786.55"/>
    <n v="10242.629999999999"/>
    <x v="22"/>
  </r>
  <r>
    <x v="3"/>
    <x v="5"/>
    <x v="1"/>
    <x v="10"/>
    <x v="4"/>
    <x v="1"/>
    <n v="89"/>
    <n v="263.14999999999998"/>
    <n v="23420.35"/>
    <n v="18339.45"/>
    <n v="5080.8999999999996"/>
    <x v="22"/>
  </r>
  <r>
    <x v="2"/>
    <x v="12"/>
    <x v="1"/>
    <x v="10"/>
    <x v="0"/>
    <x v="2"/>
    <n v="28"/>
    <n v="137.66"/>
    <n v="3854.48"/>
    <n v="2454.7800000000002"/>
    <n v="1399.7"/>
    <x v="22"/>
  </r>
  <r>
    <x v="1"/>
    <x v="2"/>
    <x v="0"/>
    <x v="7"/>
    <x v="0"/>
    <x v="2"/>
    <n v="361"/>
    <n v="233.55"/>
    <n v="84311.55"/>
    <n v="70553.97"/>
    <n v="13757.58"/>
    <x v="22"/>
  </r>
  <r>
    <x v="2"/>
    <x v="14"/>
    <x v="1"/>
    <x v="11"/>
    <x v="0"/>
    <x v="0"/>
    <n v="379"/>
    <n v="80.16"/>
    <n v="30380.639999999999"/>
    <n v="23650.97"/>
    <n v="6729.67"/>
    <x v="22"/>
  </r>
  <r>
    <x v="2"/>
    <x v="16"/>
    <x v="0"/>
    <x v="1"/>
    <x v="3"/>
    <x v="1"/>
    <n v="347"/>
    <n v="190.79"/>
    <n v="66204.13"/>
    <n v="49146.26"/>
    <n v="17057.87"/>
    <x v="22"/>
  </r>
  <r>
    <x v="0"/>
    <x v="0"/>
    <x v="1"/>
    <x v="6"/>
    <x v="4"/>
    <x v="1"/>
    <n v="485"/>
    <n v="162.38"/>
    <n v="78754.3"/>
    <n v="52063.29"/>
    <n v="26691.01"/>
    <x v="22"/>
  </r>
  <r>
    <x v="3"/>
    <x v="5"/>
    <x v="1"/>
    <x v="8"/>
    <x v="4"/>
    <x v="0"/>
    <n v="269"/>
    <n v="62.58"/>
    <n v="16834.02"/>
    <n v="11731.94"/>
    <n v="5102.08"/>
    <x v="22"/>
  </r>
  <r>
    <x v="1"/>
    <x v="6"/>
    <x v="0"/>
    <x v="7"/>
    <x v="0"/>
    <x v="2"/>
    <n v="280"/>
    <n v="217.15"/>
    <n v="60802"/>
    <n v="43499.519999999997"/>
    <n v="17302.48"/>
    <x v="22"/>
  </r>
  <r>
    <x v="0"/>
    <x v="9"/>
    <x v="0"/>
    <x v="2"/>
    <x v="2"/>
    <x v="1"/>
    <n v="101"/>
    <n v="249.98"/>
    <n v="25247.98"/>
    <n v="19974.48"/>
    <n v="5273.5"/>
    <x v="22"/>
  </r>
  <r>
    <x v="1"/>
    <x v="15"/>
    <x v="1"/>
    <x v="4"/>
    <x v="3"/>
    <x v="2"/>
    <n v="283"/>
    <n v="282.33"/>
    <n v="79899.39"/>
    <n v="63895.21"/>
    <n v="16004.18"/>
    <x v="22"/>
  </r>
  <r>
    <x v="0"/>
    <x v="13"/>
    <x v="0"/>
    <x v="1"/>
    <x v="0"/>
    <x v="2"/>
    <n v="271"/>
    <n v="230.43"/>
    <n v="62446.53"/>
    <n v="44372.92"/>
    <n v="18073.61"/>
    <x v="22"/>
  </r>
  <r>
    <x v="1"/>
    <x v="1"/>
    <x v="1"/>
    <x v="4"/>
    <x v="1"/>
    <x v="1"/>
    <n v="240"/>
    <n v="220.05"/>
    <n v="52812"/>
    <n v="42145.21"/>
    <n v="10666.79"/>
    <x v="22"/>
  </r>
  <r>
    <x v="0"/>
    <x v="13"/>
    <x v="1"/>
    <x v="8"/>
    <x v="3"/>
    <x v="0"/>
    <n v="65"/>
    <n v="150.51"/>
    <n v="9783.15"/>
    <n v="7382.01"/>
    <n v="2401.14"/>
    <x v="22"/>
  </r>
  <r>
    <x v="1"/>
    <x v="6"/>
    <x v="1"/>
    <x v="6"/>
    <x v="0"/>
    <x v="2"/>
    <n v="394"/>
    <n v="13.96"/>
    <n v="5500.24"/>
    <n v="3403.77"/>
    <n v="2096.4699999999998"/>
    <x v="23"/>
  </r>
  <r>
    <x v="3"/>
    <x v="5"/>
    <x v="0"/>
    <x v="7"/>
    <x v="0"/>
    <x v="0"/>
    <n v="365"/>
    <n v="276.44"/>
    <n v="100900.6"/>
    <n v="80470.36"/>
    <n v="20430.240000000002"/>
    <x v="23"/>
  </r>
  <r>
    <x v="0"/>
    <x v="10"/>
    <x v="1"/>
    <x v="8"/>
    <x v="0"/>
    <x v="1"/>
    <n v="298"/>
    <n v="164.7"/>
    <n v="49080.6"/>
    <n v="40416.559999999998"/>
    <n v="8664.0400000000009"/>
    <x v="23"/>
  </r>
  <r>
    <x v="0"/>
    <x v="9"/>
    <x v="0"/>
    <x v="9"/>
    <x v="2"/>
    <x v="0"/>
    <n v="41"/>
    <n v="122.3"/>
    <n v="5014.3"/>
    <n v="4145.04"/>
    <n v="869.26"/>
    <x v="23"/>
  </r>
  <r>
    <x v="2"/>
    <x v="16"/>
    <x v="1"/>
    <x v="6"/>
    <x v="3"/>
    <x v="2"/>
    <n v="375"/>
    <n v="34.200000000000003"/>
    <n v="12825"/>
    <n v="10524.25"/>
    <n v="2300.75"/>
    <x v="23"/>
  </r>
  <r>
    <x v="0"/>
    <x v="0"/>
    <x v="1"/>
    <x v="10"/>
    <x v="2"/>
    <x v="1"/>
    <n v="383"/>
    <n v="243.74"/>
    <n v="93352.42"/>
    <n v="68852.7"/>
    <n v="24499.72"/>
    <x v="23"/>
  </r>
  <r>
    <x v="1"/>
    <x v="2"/>
    <x v="0"/>
    <x v="2"/>
    <x v="4"/>
    <x v="1"/>
    <n v="28"/>
    <n v="206.49"/>
    <n v="5781.72"/>
    <n v="3573.26"/>
    <n v="2208.46"/>
    <x v="23"/>
  </r>
  <r>
    <x v="3"/>
    <x v="11"/>
    <x v="0"/>
    <x v="7"/>
    <x v="4"/>
    <x v="2"/>
    <n v="401"/>
    <n v="220.04"/>
    <n v="88236.04"/>
    <n v="69467.39"/>
    <n v="18768.650000000001"/>
    <x v="23"/>
  </r>
  <r>
    <x v="2"/>
    <x v="4"/>
    <x v="1"/>
    <x v="6"/>
    <x v="0"/>
    <x v="0"/>
    <n v="65"/>
    <n v="202.01"/>
    <n v="13130.65"/>
    <n v="9663.43"/>
    <n v="3467.22"/>
    <x v="23"/>
  </r>
  <r>
    <x v="3"/>
    <x v="7"/>
    <x v="1"/>
    <x v="4"/>
    <x v="1"/>
    <x v="2"/>
    <n v="50"/>
    <n v="81.7"/>
    <n v="4085"/>
    <n v="3340.25"/>
    <n v="744.75"/>
    <x v="23"/>
  </r>
  <r>
    <x v="0"/>
    <x v="0"/>
    <x v="1"/>
    <x v="6"/>
    <x v="0"/>
    <x v="1"/>
    <n v="297"/>
    <n v="31.93"/>
    <n v="9483.2099999999991"/>
    <n v="6556.88"/>
    <n v="2926.33"/>
    <x v="23"/>
  </r>
  <r>
    <x v="3"/>
    <x v="5"/>
    <x v="1"/>
    <x v="3"/>
    <x v="1"/>
    <x v="0"/>
    <n v="273"/>
    <n v="298.45"/>
    <n v="81476.850000000006"/>
    <n v="50715.51"/>
    <n v="30761.34"/>
    <x v="23"/>
  </r>
  <r>
    <x v="2"/>
    <x v="14"/>
    <x v="0"/>
    <x v="1"/>
    <x v="1"/>
    <x v="2"/>
    <n v="60"/>
    <n v="223.57"/>
    <n v="13414.2"/>
    <n v="11181.97"/>
    <n v="2232.23"/>
    <x v="23"/>
  </r>
  <r>
    <x v="3"/>
    <x v="5"/>
    <x v="1"/>
    <x v="8"/>
    <x v="3"/>
    <x v="2"/>
    <n v="223"/>
    <n v="182.13"/>
    <n v="40614.99"/>
    <n v="32428.47"/>
    <n v="8186.52"/>
    <x v="23"/>
  </r>
  <r>
    <x v="0"/>
    <x v="13"/>
    <x v="0"/>
    <x v="1"/>
    <x v="3"/>
    <x v="1"/>
    <n v="497"/>
    <n v="61.98"/>
    <n v="30804.06"/>
    <n v="24643.27"/>
    <n v="6160.79"/>
    <x v="23"/>
  </r>
  <r>
    <x v="1"/>
    <x v="6"/>
    <x v="1"/>
    <x v="4"/>
    <x v="1"/>
    <x v="1"/>
    <n v="101"/>
    <n v="118.59"/>
    <n v="11977.59"/>
    <n v="7392.93"/>
    <n v="4584.66"/>
    <x v="23"/>
  </r>
  <r>
    <x v="1"/>
    <x v="6"/>
    <x v="0"/>
    <x v="9"/>
    <x v="1"/>
    <x v="1"/>
    <n v="43"/>
    <n v="170.71"/>
    <n v="7340.53"/>
    <n v="5599.76"/>
    <n v="1740.77"/>
    <x v="23"/>
  </r>
  <r>
    <x v="1"/>
    <x v="1"/>
    <x v="0"/>
    <x v="9"/>
    <x v="3"/>
    <x v="0"/>
    <n v="455"/>
    <n v="39.229999999999997"/>
    <n v="17849.650000000001"/>
    <n v="11852.24"/>
    <n v="5997.41"/>
    <x v="23"/>
  </r>
  <r>
    <x v="0"/>
    <x v="0"/>
    <x v="1"/>
    <x v="11"/>
    <x v="4"/>
    <x v="2"/>
    <n v="60"/>
    <n v="274.85000000000002"/>
    <n v="16491"/>
    <n v="12420.09"/>
    <n v="4070.91"/>
    <x v="23"/>
  </r>
  <r>
    <x v="2"/>
    <x v="14"/>
    <x v="1"/>
    <x v="8"/>
    <x v="4"/>
    <x v="1"/>
    <n v="79"/>
    <n v="264.23"/>
    <n v="20874.169999999998"/>
    <n v="17723.919999999998"/>
    <n v="3150.25"/>
    <x v="23"/>
  </r>
  <r>
    <x v="3"/>
    <x v="8"/>
    <x v="0"/>
    <x v="1"/>
    <x v="0"/>
    <x v="2"/>
    <n v="246"/>
    <n v="126.74"/>
    <n v="31178.04"/>
    <n v="20406.21"/>
    <n v="10771.83"/>
    <x v="23"/>
  </r>
  <r>
    <x v="2"/>
    <x v="16"/>
    <x v="1"/>
    <x v="6"/>
    <x v="2"/>
    <x v="1"/>
    <n v="378"/>
    <n v="206.36"/>
    <n v="78004.08"/>
    <n v="58615.76"/>
    <n v="19388.32"/>
    <x v="23"/>
  </r>
  <r>
    <x v="1"/>
    <x v="1"/>
    <x v="1"/>
    <x v="5"/>
    <x v="3"/>
    <x v="2"/>
    <n v="225"/>
    <n v="137.94999999999999"/>
    <n v="31038.75"/>
    <n v="23323.72"/>
    <n v="7715.03"/>
    <x v="23"/>
  </r>
  <r>
    <x v="2"/>
    <x v="14"/>
    <x v="0"/>
    <x v="0"/>
    <x v="0"/>
    <x v="0"/>
    <n v="494"/>
    <n v="235.79"/>
    <n v="116480.26"/>
    <n v="74056.05"/>
    <n v="42424.21"/>
    <x v="23"/>
  </r>
  <r>
    <x v="3"/>
    <x v="7"/>
    <x v="0"/>
    <x v="0"/>
    <x v="0"/>
    <x v="1"/>
    <n v="104"/>
    <n v="219.35"/>
    <n v="22812.400000000001"/>
    <n v="17434.28"/>
    <n v="5378.12"/>
    <x v="23"/>
  </r>
  <r>
    <x v="0"/>
    <x v="10"/>
    <x v="0"/>
    <x v="9"/>
    <x v="3"/>
    <x v="0"/>
    <n v="271"/>
    <n v="202.89"/>
    <n v="54983.19"/>
    <n v="35152.49"/>
    <n v="19830.7"/>
    <x v="24"/>
  </r>
  <r>
    <x v="1"/>
    <x v="2"/>
    <x v="0"/>
    <x v="9"/>
    <x v="3"/>
    <x v="1"/>
    <n v="52"/>
    <n v="260.94"/>
    <n v="13568.88"/>
    <n v="8674.83"/>
    <n v="4894.05"/>
    <x v="24"/>
  </r>
  <r>
    <x v="1"/>
    <x v="15"/>
    <x v="0"/>
    <x v="0"/>
    <x v="4"/>
    <x v="2"/>
    <n v="386"/>
    <n v="33.99"/>
    <n v="13120.14"/>
    <n v="10925.43"/>
    <n v="2194.71"/>
    <x v="24"/>
  </r>
  <r>
    <x v="2"/>
    <x v="16"/>
    <x v="1"/>
    <x v="11"/>
    <x v="0"/>
    <x v="2"/>
    <n v="380"/>
    <n v="278.07"/>
    <n v="105666.6"/>
    <n v="89052.07"/>
    <n v="16614.53"/>
    <x v="24"/>
  </r>
  <r>
    <x v="1"/>
    <x v="6"/>
    <x v="0"/>
    <x v="9"/>
    <x v="2"/>
    <x v="1"/>
    <n v="343"/>
    <n v="148.93"/>
    <n v="51082.99"/>
    <n v="30879.67"/>
    <n v="20203.32"/>
    <x v="24"/>
  </r>
  <r>
    <x v="0"/>
    <x v="0"/>
    <x v="0"/>
    <x v="0"/>
    <x v="2"/>
    <x v="2"/>
    <n v="39"/>
    <n v="14.15"/>
    <n v="551.85"/>
    <n v="432.91"/>
    <n v="118.94"/>
    <x v="24"/>
  </r>
  <r>
    <x v="0"/>
    <x v="13"/>
    <x v="1"/>
    <x v="8"/>
    <x v="0"/>
    <x v="2"/>
    <n v="51"/>
    <n v="268.7"/>
    <n v="13703.7"/>
    <n v="11495.12"/>
    <n v="2208.58"/>
    <x v="24"/>
  </r>
  <r>
    <x v="2"/>
    <x v="4"/>
    <x v="1"/>
    <x v="8"/>
    <x v="0"/>
    <x v="2"/>
    <n v="178"/>
    <n v="256.04000000000002"/>
    <n v="45575.12"/>
    <n v="32160.42"/>
    <n v="13414.7"/>
    <x v="24"/>
  </r>
  <r>
    <x v="2"/>
    <x v="16"/>
    <x v="1"/>
    <x v="4"/>
    <x v="0"/>
    <x v="2"/>
    <n v="148"/>
    <n v="171.74"/>
    <n v="25417.52"/>
    <n v="17457.240000000002"/>
    <n v="7960.28"/>
    <x v="24"/>
  </r>
  <r>
    <x v="3"/>
    <x v="8"/>
    <x v="0"/>
    <x v="7"/>
    <x v="4"/>
    <x v="2"/>
    <n v="190"/>
    <n v="274.43"/>
    <n v="52141.7"/>
    <n v="43896.94"/>
    <n v="8244.76"/>
    <x v="24"/>
  </r>
  <r>
    <x v="0"/>
    <x v="0"/>
    <x v="0"/>
    <x v="7"/>
    <x v="3"/>
    <x v="2"/>
    <n v="134"/>
    <n v="117.42"/>
    <n v="15734.28"/>
    <n v="10914.88"/>
    <n v="4819.3999999999996"/>
    <x v="24"/>
  </r>
  <r>
    <x v="1"/>
    <x v="15"/>
    <x v="1"/>
    <x v="5"/>
    <x v="4"/>
    <x v="2"/>
    <n v="246"/>
    <n v="202.86"/>
    <n v="49903.56"/>
    <n v="32130.05"/>
    <n v="17773.509999999998"/>
    <x v="24"/>
  </r>
  <r>
    <x v="1"/>
    <x v="15"/>
    <x v="1"/>
    <x v="8"/>
    <x v="2"/>
    <x v="0"/>
    <n v="346"/>
    <n v="120.35"/>
    <n v="41641.1"/>
    <n v="26681.9"/>
    <n v="14959.2"/>
    <x v="24"/>
  </r>
  <r>
    <x v="3"/>
    <x v="7"/>
    <x v="1"/>
    <x v="3"/>
    <x v="0"/>
    <x v="1"/>
    <n v="339"/>
    <n v="58.07"/>
    <n v="19685.73"/>
    <n v="16465.63"/>
    <n v="3220.1"/>
    <x v="24"/>
  </r>
  <r>
    <x v="0"/>
    <x v="0"/>
    <x v="0"/>
    <x v="2"/>
    <x v="1"/>
    <x v="2"/>
    <n v="98"/>
    <n v="197.53"/>
    <n v="19357.939999999999"/>
    <n v="14969.38"/>
    <n v="4388.5600000000004"/>
    <x v="24"/>
  </r>
  <r>
    <x v="3"/>
    <x v="5"/>
    <x v="1"/>
    <x v="5"/>
    <x v="3"/>
    <x v="2"/>
    <n v="185"/>
    <n v="208.15"/>
    <n v="38507.75"/>
    <n v="23837.56"/>
    <n v="14670.19"/>
    <x v="24"/>
  </r>
  <r>
    <x v="0"/>
    <x v="13"/>
    <x v="1"/>
    <x v="5"/>
    <x v="1"/>
    <x v="1"/>
    <n v="296"/>
    <n v="27.79"/>
    <n v="8225.84"/>
    <n v="6541.11"/>
    <n v="1684.73"/>
    <x v="24"/>
  </r>
  <r>
    <x v="0"/>
    <x v="0"/>
    <x v="1"/>
    <x v="5"/>
    <x v="4"/>
    <x v="1"/>
    <n v="31"/>
    <n v="35.72"/>
    <n v="1107.32"/>
    <n v="697.79"/>
    <n v="409.53"/>
    <x v="24"/>
  </r>
  <r>
    <x v="3"/>
    <x v="7"/>
    <x v="0"/>
    <x v="9"/>
    <x v="2"/>
    <x v="1"/>
    <n v="161"/>
    <n v="76.7"/>
    <n v="12348.7"/>
    <n v="7781.43"/>
    <n v="4567.2700000000004"/>
    <x v="24"/>
  </r>
  <r>
    <x v="3"/>
    <x v="5"/>
    <x v="0"/>
    <x v="7"/>
    <x v="2"/>
    <x v="0"/>
    <n v="223"/>
    <n v="274.10000000000002"/>
    <n v="61124.3"/>
    <n v="38551.26"/>
    <n v="22573.040000000001"/>
    <x v="24"/>
  </r>
  <r>
    <x v="3"/>
    <x v="11"/>
    <x v="1"/>
    <x v="3"/>
    <x v="4"/>
    <x v="0"/>
    <n v="218"/>
    <n v="298.69"/>
    <n v="65114.42"/>
    <n v="46334.65"/>
    <n v="18779.77"/>
    <x v="24"/>
  </r>
  <r>
    <x v="2"/>
    <x v="4"/>
    <x v="0"/>
    <x v="7"/>
    <x v="0"/>
    <x v="2"/>
    <n v="390"/>
    <n v="206.09"/>
    <n v="80375.100000000006"/>
    <n v="54757.63"/>
    <n v="25617.47"/>
    <x v="24"/>
  </r>
  <r>
    <x v="0"/>
    <x v="0"/>
    <x v="1"/>
    <x v="5"/>
    <x v="3"/>
    <x v="1"/>
    <n v="186"/>
    <n v="119.42"/>
    <n v="22212.12"/>
    <n v="18526.689999999999"/>
    <n v="3685.43"/>
    <x v="24"/>
  </r>
  <r>
    <x v="3"/>
    <x v="11"/>
    <x v="0"/>
    <x v="1"/>
    <x v="3"/>
    <x v="0"/>
    <n v="257"/>
    <n v="144.54"/>
    <n v="37146.78"/>
    <n v="30731.72"/>
    <n v="6415.06"/>
    <x v="24"/>
  </r>
  <r>
    <x v="3"/>
    <x v="11"/>
    <x v="1"/>
    <x v="10"/>
    <x v="4"/>
    <x v="2"/>
    <n v="461"/>
    <n v="191.26"/>
    <n v="88170.86"/>
    <n v="59880.13"/>
    <n v="28290.73"/>
    <x v="24"/>
  </r>
  <r>
    <x v="3"/>
    <x v="11"/>
    <x v="1"/>
    <x v="8"/>
    <x v="2"/>
    <x v="0"/>
    <n v="21"/>
    <n v="56.27"/>
    <n v="1181.67"/>
    <n v="966.54"/>
    <n v="215.13"/>
    <x v="24"/>
  </r>
  <r>
    <x v="3"/>
    <x v="7"/>
    <x v="1"/>
    <x v="4"/>
    <x v="0"/>
    <x v="2"/>
    <n v="294"/>
    <n v="206.81"/>
    <n v="60802.14"/>
    <n v="41982.66"/>
    <n v="18819.48"/>
    <x v="24"/>
  </r>
  <r>
    <x v="1"/>
    <x v="6"/>
    <x v="0"/>
    <x v="0"/>
    <x v="0"/>
    <x v="2"/>
    <n v="183"/>
    <n v="28.04"/>
    <n v="5131.32"/>
    <n v="3267.76"/>
    <n v="1863.56"/>
    <x v="24"/>
  </r>
  <r>
    <x v="0"/>
    <x v="9"/>
    <x v="1"/>
    <x v="5"/>
    <x v="3"/>
    <x v="0"/>
    <n v="215"/>
    <n v="220.73"/>
    <n v="47456.95"/>
    <n v="32089.81"/>
    <n v="15367.14"/>
    <x v="24"/>
  </r>
  <r>
    <x v="2"/>
    <x v="16"/>
    <x v="1"/>
    <x v="4"/>
    <x v="2"/>
    <x v="1"/>
    <n v="133"/>
    <n v="122.71"/>
    <n v="16320.43"/>
    <n v="10460.11"/>
    <n v="5860.32"/>
    <x v="24"/>
  </r>
  <r>
    <x v="3"/>
    <x v="7"/>
    <x v="0"/>
    <x v="1"/>
    <x v="1"/>
    <x v="1"/>
    <n v="341"/>
    <n v="274.10000000000002"/>
    <n v="93468.1"/>
    <n v="66933.279999999999"/>
    <n v="26534.82"/>
    <x v="24"/>
  </r>
  <r>
    <x v="3"/>
    <x v="11"/>
    <x v="0"/>
    <x v="9"/>
    <x v="1"/>
    <x v="2"/>
    <n v="495"/>
    <n v="141.66"/>
    <n v="70121.7"/>
    <n v="54138.76"/>
    <n v="15982.94"/>
    <x v="24"/>
  </r>
  <r>
    <x v="2"/>
    <x v="4"/>
    <x v="0"/>
    <x v="9"/>
    <x v="0"/>
    <x v="0"/>
    <n v="119"/>
    <n v="274.12"/>
    <n v="32620.28"/>
    <n v="25720.78"/>
    <n v="6899.5"/>
    <x v="24"/>
  </r>
  <r>
    <x v="2"/>
    <x v="4"/>
    <x v="0"/>
    <x v="0"/>
    <x v="1"/>
    <x v="0"/>
    <n v="77"/>
    <n v="264.39999999999998"/>
    <n v="20358.8"/>
    <n v="16680.28"/>
    <n v="3678.52"/>
    <x v="24"/>
  </r>
  <r>
    <x v="0"/>
    <x v="9"/>
    <x v="1"/>
    <x v="5"/>
    <x v="4"/>
    <x v="1"/>
    <n v="491"/>
    <n v="103.71"/>
    <n v="50921.61"/>
    <n v="42940.89"/>
    <n v="7980.72"/>
    <x v="25"/>
  </r>
  <r>
    <x v="2"/>
    <x v="16"/>
    <x v="1"/>
    <x v="6"/>
    <x v="3"/>
    <x v="1"/>
    <n v="99"/>
    <n v="276.76"/>
    <n v="27399.24"/>
    <n v="18811.95"/>
    <n v="8587.2900000000009"/>
    <x v="25"/>
  </r>
  <r>
    <x v="0"/>
    <x v="13"/>
    <x v="0"/>
    <x v="7"/>
    <x v="3"/>
    <x v="0"/>
    <n v="125"/>
    <n v="17.98"/>
    <n v="2247.5"/>
    <n v="1820.37"/>
    <n v="427.13"/>
    <x v="25"/>
  </r>
  <r>
    <x v="3"/>
    <x v="7"/>
    <x v="1"/>
    <x v="8"/>
    <x v="1"/>
    <x v="2"/>
    <n v="29"/>
    <n v="156.41"/>
    <n v="4535.8900000000003"/>
    <n v="3337.62"/>
    <n v="1198.27"/>
    <x v="25"/>
  </r>
  <r>
    <x v="1"/>
    <x v="15"/>
    <x v="0"/>
    <x v="1"/>
    <x v="4"/>
    <x v="1"/>
    <n v="115"/>
    <n v="58.57"/>
    <n v="6735.55"/>
    <n v="4217.41"/>
    <n v="2518.14"/>
    <x v="25"/>
  </r>
  <r>
    <x v="1"/>
    <x v="15"/>
    <x v="0"/>
    <x v="9"/>
    <x v="4"/>
    <x v="2"/>
    <n v="259"/>
    <n v="19.04"/>
    <n v="4931.3599999999997"/>
    <n v="3282.15"/>
    <n v="1649.21"/>
    <x v="25"/>
  </r>
  <r>
    <x v="0"/>
    <x v="0"/>
    <x v="0"/>
    <x v="9"/>
    <x v="2"/>
    <x v="2"/>
    <n v="44"/>
    <n v="87.66"/>
    <n v="3857.04"/>
    <n v="3075.18"/>
    <n v="781.86"/>
    <x v="25"/>
  </r>
  <r>
    <x v="1"/>
    <x v="15"/>
    <x v="1"/>
    <x v="4"/>
    <x v="4"/>
    <x v="2"/>
    <n v="276"/>
    <n v="93.72"/>
    <n v="25866.720000000001"/>
    <n v="17820.05"/>
    <n v="8046.67"/>
    <x v="25"/>
  </r>
  <r>
    <x v="3"/>
    <x v="7"/>
    <x v="0"/>
    <x v="1"/>
    <x v="1"/>
    <x v="2"/>
    <n v="356"/>
    <n v="36.39"/>
    <n v="12954.84"/>
    <n v="10125.49"/>
    <n v="2829.35"/>
    <x v="25"/>
  </r>
  <r>
    <x v="3"/>
    <x v="8"/>
    <x v="1"/>
    <x v="11"/>
    <x v="2"/>
    <x v="0"/>
    <n v="168"/>
    <n v="130.61000000000001"/>
    <n v="21942.48"/>
    <n v="17807.669999999998"/>
    <n v="4134.8100000000004"/>
    <x v="25"/>
  </r>
  <r>
    <x v="3"/>
    <x v="5"/>
    <x v="1"/>
    <x v="5"/>
    <x v="1"/>
    <x v="0"/>
    <n v="444"/>
    <n v="167.43"/>
    <n v="74338.92"/>
    <n v="52623.19"/>
    <n v="21715.73"/>
    <x v="25"/>
  </r>
  <r>
    <x v="1"/>
    <x v="1"/>
    <x v="0"/>
    <x v="7"/>
    <x v="1"/>
    <x v="0"/>
    <n v="87"/>
    <n v="184.93"/>
    <n v="16088.91"/>
    <n v="12898.68"/>
    <n v="3190.23"/>
    <x v="25"/>
  </r>
  <r>
    <x v="0"/>
    <x v="10"/>
    <x v="1"/>
    <x v="11"/>
    <x v="0"/>
    <x v="1"/>
    <n v="289"/>
    <n v="221.56"/>
    <n v="64030.84"/>
    <n v="50672.61"/>
    <n v="13358.23"/>
    <x v="25"/>
  </r>
  <r>
    <x v="0"/>
    <x v="10"/>
    <x v="0"/>
    <x v="1"/>
    <x v="1"/>
    <x v="2"/>
    <n v="327"/>
    <n v="226.33"/>
    <n v="74009.91"/>
    <n v="51964.55"/>
    <n v="22045.360000000001"/>
    <x v="25"/>
  </r>
  <r>
    <x v="0"/>
    <x v="0"/>
    <x v="1"/>
    <x v="10"/>
    <x v="3"/>
    <x v="1"/>
    <n v="409"/>
    <n v="297.47000000000003"/>
    <n v="121665.23"/>
    <n v="97940.89"/>
    <n v="23724.34"/>
    <x v="25"/>
  </r>
  <r>
    <x v="3"/>
    <x v="8"/>
    <x v="0"/>
    <x v="9"/>
    <x v="3"/>
    <x v="1"/>
    <n v="288"/>
    <n v="125.8"/>
    <n v="36230.400000000001"/>
    <n v="23118.76"/>
    <n v="13111.64"/>
    <x v="25"/>
  </r>
  <r>
    <x v="0"/>
    <x v="10"/>
    <x v="1"/>
    <x v="11"/>
    <x v="4"/>
    <x v="0"/>
    <n v="422"/>
    <n v="37.19"/>
    <n v="15694.18"/>
    <n v="11681.07"/>
    <n v="4013.11"/>
    <x v="25"/>
  </r>
  <r>
    <x v="0"/>
    <x v="10"/>
    <x v="0"/>
    <x v="0"/>
    <x v="0"/>
    <x v="2"/>
    <n v="309"/>
    <n v="69.47"/>
    <n v="21466.23"/>
    <n v="18074.53"/>
    <n v="3391.7"/>
    <x v="25"/>
  </r>
  <r>
    <x v="2"/>
    <x v="4"/>
    <x v="1"/>
    <x v="5"/>
    <x v="4"/>
    <x v="2"/>
    <n v="469"/>
    <n v="214.97"/>
    <n v="100820.93"/>
    <n v="64702.89"/>
    <n v="36118.04"/>
    <x v="25"/>
  </r>
  <r>
    <x v="1"/>
    <x v="2"/>
    <x v="0"/>
    <x v="0"/>
    <x v="3"/>
    <x v="2"/>
    <n v="480"/>
    <n v="19.93"/>
    <n v="9566.4"/>
    <n v="7726.43"/>
    <n v="1839.97"/>
    <x v="25"/>
  </r>
  <r>
    <x v="3"/>
    <x v="5"/>
    <x v="1"/>
    <x v="11"/>
    <x v="0"/>
    <x v="2"/>
    <n v="406"/>
    <n v="191.61"/>
    <n v="77793.66"/>
    <n v="56184.480000000003"/>
    <n v="21609.18"/>
    <x v="25"/>
  </r>
  <r>
    <x v="0"/>
    <x v="9"/>
    <x v="0"/>
    <x v="7"/>
    <x v="3"/>
    <x v="1"/>
    <n v="163"/>
    <n v="20.64"/>
    <n v="3364.32"/>
    <n v="2230.91"/>
    <n v="1133.4100000000001"/>
    <x v="25"/>
  </r>
  <r>
    <x v="0"/>
    <x v="13"/>
    <x v="1"/>
    <x v="10"/>
    <x v="1"/>
    <x v="0"/>
    <n v="260"/>
    <n v="232.31"/>
    <n v="60400.6"/>
    <n v="47318.07"/>
    <n v="13082.53"/>
    <x v="25"/>
  </r>
  <r>
    <x v="1"/>
    <x v="2"/>
    <x v="0"/>
    <x v="1"/>
    <x v="3"/>
    <x v="1"/>
    <n v="315"/>
    <n v="269.85000000000002"/>
    <n v="85002.75"/>
    <n v="68385.279999999999"/>
    <n v="16617.47"/>
    <x v="25"/>
  </r>
  <r>
    <x v="3"/>
    <x v="7"/>
    <x v="1"/>
    <x v="3"/>
    <x v="2"/>
    <x v="0"/>
    <n v="265"/>
    <n v="76.069999999999993"/>
    <n v="20158.55"/>
    <n v="17013.77"/>
    <n v="3144.78"/>
    <x v="25"/>
  </r>
  <r>
    <x v="1"/>
    <x v="6"/>
    <x v="1"/>
    <x v="8"/>
    <x v="0"/>
    <x v="2"/>
    <n v="392"/>
    <n v="82.78"/>
    <n v="32449.759999999998"/>
    <n v="26370.43"/>
    <n v="6079.33"/>
    <x v="25"/>
  </r>
  <r>
    <x v="0"/>
    <x v="10"/>
    <x v="1"/>
    <x v="4"/>
    <x v="0"/>
    <x v="2"/>
    <n v="54"/>
    <n v="125.42"/>
    <n v="6772.68"/>
    <n v="4576.5"/>
    <n v="2196.1799999999998"/>
    <x v="25"/>
  </r>
  <r>
    <x v="2"/>
    <x v="16"/>
    <x v="1"/>
    <x v="11"/>
    <x v="4"/>
    <x v="1"/>
    <n v="30"/>
    <n v="220.3"/>
    <n v="6609"/>
    <n v="4499.1000000000004"/>
    <n v="2109.9"/>
    <x v="25"/>
  </r>
  <r>
    <x v="1"/>
    <x v="1"/>
    <x v="0"/>
    <x v="0"/>
    <x v="0"/>
    <x v="2"/>
    <n v="303"/>
    <n v="243.86"/>
    <n v="73889.58"/>
    <n v="52817.01"/>
    <n v="21072.57"/>
    <x v="26"/>
  </r>
  <r>
    <x v="2"/>
    <x v="14"/>
    <x v="1"/>
    <x v="6"/>
    <x v="1"/>
    <x v="1"/>
    <n v="442"/>
    <n v="188.04"/>
    <n v="83113.679999999993"/>
    <n v="51253.13"/>
    <n v="31860.55"/>
    <x v="26"/>
  </r>
  <r>
    <x v="2"/>
    <x v="16"/>
    <x v="1"/>
    <x v="6"/>
    <x v="3"/>
    <x v="2"/>
    <n v="158"/>
    <n v="120"/>
    <n v="18960"/>
    <n v="14903.74"/>
    <n v="4056.26"/>
    <x v="26"/>
  </r>
  <r>
    <x v="2"/>
    <x v="4"/>
    <x v="0"/>
    <x v="0"/>
    <x v="4"/>
    <x v="2"/>
    <n v="474"/>
    <n v="28.76"/>
    <n v="13632.24"/>
    <n v="11436.85"/>
    <n v="2195.39"/>
    <x v="26"/>
  </r>
  <r>
    <x v="3"/>
    <x v="7"/>
    <x v="0"/>
    <x v="2"/>
    <x v="1"/>
    <x v="2"/>
    <n v="91"/>
    <n v="148.05000000000001"/>
    <n v="13472.55"/>
    <n v="9349.57"/>
    <n v="4122.9799999999996"/>
    <x v="26"/>
  </r>
  <r>
    <x v="3"/>
    <x v="8"/>
    <x v="0"/>
    <x v="2"/>
    <x v="4"/>
    <x v="1"/>
    <n v="352"/>
    <n v="186.25"/>
    <n v="65560"/>
    <n v="44175.99"/>
    <n v="21384.01"/>
    <x v="26"/>
  </r>
  <r>
    <x v="1"/>
    <x v="2"/>
    <x v="0"/>
    <x v="0"/>
    <x v="4"/>
    <x v="2"/>
    <n v="459"/>
    <n v="40.909999999999997"/>
    <n v="18777.689999999999"/>
    <n v="11619.34"/>
    <n v="7158.35"/>
    <x v="26"/>
  </r>
  <r>
    <x v="1"/>
    <x v="6"/>
    <x v="0"/>
    <x v="2"/>
    <x v="3"/>
    <x v="1"/>
    <n v="231"/>
    <n v="12.57"/>
    <n v="2903.67"/>
    <n v="2466.54"/>
    <n v="437.13"/>
    <x v="26"/>
  </r>
  <r>
    <x v="2"/>
    <x v="3"/>
    <x v="0"/>
    <x v="2"/>
    <x v="2"/>
    <x v="0"/>
    <n v="281"/>
    <n v="263.37"/>
    <n v="74006.97"/>
    <n v="62611.44"/>
    <n v="11395.53"/>
    <x v="26"/>
  </r>
  <r>
    <x v="0"/>
    <x v="9"/>
    <x v="1"/>
    <x v="10"/>
    <x v="3"/>
    <x v="1"/>
    <n v="461"/>
    <n v="73.290000000000006"/>
    <n v="33786.69"/>
    <n v="28296.03"/>
    <n v="5490.66"/>
    <x v="26"/>
  </r>
  <r>
    <x v="2"/>
    <x v="14"/>
    <x v="0"/>
    <x v="7"/>
    <x v="0"/>
    <x v="2"/>
    <n v="47"/>
    <n v="56.2"/>
    <n v="2641.4"/>
    <n v="1626.51"/>
    <n v="1014.89"/>
    <x v="26"/>
  </r>
  <r>
    <x v="0"/>
    <x v="9"/>
    <x v="0"/>
    <x v="2"/>
    <x v="1"/>
    <x v="0"/>
    <n v="157"/>
    <n v="252.97"/>
    <n v="39716.29"/>
    <n v="26119.11"/>
    <n v="13597.18"/>
    <x v="26"/>
  </r>
  <r>
    <x v="3"/>
    <x v="11"/>
    <x v="0"/>
    <x v="9"/>
    <x v="4"/>
    <x v="2"/>
    <n v="255"/>
    <n v="239.25"/>
    <n v="61008.75"/>
    <n v="38509.040000000001"/>
    <n v="22499.71"/>
    <x v="26"/>
  </r>
  <r>
    <x v="1"/>
    <x v="2"/>
    <x v="0"/>
    <x v="7"/>
    <x v="2"/>
    <x v="1"/>
    <n v="84"/>
    <n v="229.32"/>
    <n v="19262.88"/>
    <n v="15612.42"/>
    <n v="3650.46"/>
    <x v="26"/>
  </r>
  <r>
    <x v="0"/>
    <x v="0"/>
    <x v="0"/>
    <x v="9"/>
    <x v="0"/>
    <x v="2"/>
    <n v="173"/>
    <n v="53.41"/>
    <n v="9239.93"/>
    <n v="6523.26"/>
    <n v="2716.67"/>
    <x v="26"/>
  </r>
  <r>
    <x v="1"/>
    <x v="15"/>
    <x v="0"/>
    <x v="7"/>
    <x v="4"/>
    <x v="1"/>
    <n v="106"/>
    <n v="123.31"/>
    <n v="13070.86"/>
    <n v="10451.280000000001"/>
    <n v="2619.58"/>
    <x v="26"/>
  </r>
  <r>
    <x v="0"/>
    <x v="0"/>
    <x v="0"/>
    <x v="0"/>
    <x v="2"/>
    <x v="2"/>
    <n v="173"/>
    <n v="37.99"/>
    <n v="6572.27"/>
    <n v="4340.8100000000004"/>
    <n v="2231.46"/>
    <x v="26"/>
  </r>
  <r>
    <x v="1"/>
    <x v="6"/>
    <x v="0"/>
    <x v="0"/>
    <x v="3"/>
    <x v="2"/>
    <n v="21"/>
    <n v="10.39"/>
    <n v="218.19"/>
    <n v="147.27000000000001"/>
    <n v="70.92"/>
    <x v="26"/>
  </r>
  <r>
    <x v="0"/>
    <x v="13"/>
    <x v="0"/>
    <x v="0"/>
    <x v="0"/>
    <x v="2"/>
    <n v="287"/>
    <n v="252.13"/>
    <n v="72361.31"/>
    <n v="61224.94"/>
    <n v="11136.37"/>
    <x v="26"/>
  </r>
  <r>
    <x v="0"/>
    <x v="10"/>
    <x v="1"/>
    <x v="10"/>
    <x v="3"/>
    <x v="1"/>
    <n v="410"/>
    <n v="152.71"/>
    <n v="62611.1"/>
    <n v="41608.9"/>
    <n v="21002.2"/>
    <x v="26"/>
  </r>
  <r>
    <x v="0"/>
    <x v="9"/>
    <x v="1"/>
    <x v="3"/>
    <x v="0"/>
    <x v="1"/>
    <n v="67"/>
    <n v="10.3"/>
    <n v="690.1"/>
    <n v="441.48"/>
    <n v="248.62"/>
    <x v="26"/>
  </r>
  <r>
    <x v="0"/>
    <x v="13"/>
    <x v="1"/>
    <x v="8"/>
    <x v="2"/>
    <x v="2"/>
    <n v="379"/>
    <n v="103.44"/>
    <n v="39203.760000000002"/>
    <n v="24749.66"/>
    <n v="14454.1"/>
    <x v="26"/>
  </r>
  <r>
    <x v="2"/>
    <x v="12"/>
    <x v="0"/>
    <x v="9"/>
    <x v="0"/>
    <x v="0"/>
    <n v="464"/>
    <n v="292.91000000000003"/>
    <n v="135910.24"/>
    <n v="97141.47"/>
    <n v="38768.769999999997"/>
    <x v="26"/>
  </r>
  <r>
    <x v="1"/>
    <x v="6"/>
    <x v="1"/>
    <x v="8"/>
    <x v="4"/>
    <x v="2"/>
    <n v="250"/>
    <n v="194.28"/>
    <n v="48570"/>
    <n v="30243.59"/>
    <n v="18326.41"/>
    <x v="26"/>
  </r>
  <r>
    <x v="2"/>
    <x v="16"/>
    <x v="0"/>
    <x v="1"/>
    <x v="4"/>
    <x v="0"/>
    <n v="487"/>
    <n v="118.44"/>
    <n v="57680.28"/>
    <n v="48227.18"/>
    <n v="9453.1"/>
    <x v="26"/>
  </r>
  <r>
    <x v="2"/>
    <x v="3"/>
    <x v="1"/>
    <x v="10"/>
    <x v="2"/>
    <x v="0"/>
    <n v="107"/>
    <n v="127.2"/>
    <n v="13610.4"/>
    <n v="9279"/>
    <n v="4331.3999999999996"/>
    <x v="26"/>
  </r>
  <r>
    <x v="2"/>
    <x v="4"/>
    <x v="0"/>
    <x v="1"/>
    <x v="2"/>
    <x v="2"/>
    <n v="308"/>
    <n v="183.72"/>
    <n v="56585.760000000002"/>
    <n v="45647.72"/>
    <n v="10938.04"/>
    <x v="26"/>
  </r>
  <r>
    <x v="0"/>
    <x v="9"/>
    <x v="1"/>
    <x v="10"/>
    <x v="3"/>
    <x v="0"/>
    <n v="159"/>
    <n v="16.86"/>
    <n v="2680.74"/>
    <n v="2038.68"/>
    <n v="642.05999999999995"/>
    <x v="26"/>
  </r>
  <r>
    <x v="1"/>
    <x v="6"/>
    <x v="0"/>
    <x v="2"/>
    <x v="3"/>
    <x v="0"/>
    <n v="51"/>
    <n v="166.52"/>
    <n v="8492.52"/>
    <n v="6428.73"/>
    <n v="2063.79"/>
    <x v="26"/>
  </r>
  <r>
    <x v="3"/>
    <x v="11"/>
    <x v="0"/>
    <x v="2"/>
    <x v="0"/>
    <x v="2"/>
    <n v="492"/>
    <n v="204.72"/>
    <n v="100722.24000000001"/>
    <n v="68413.63"/>
    <n v="32308.61"/>
    <x v="26"/>
  </r>
  <r>
    <x v="2"/>
    <x v="3"/>
    <x v="0"/>
    <x v="9"/>
    <x v="1"/>
    <x v="1"/>
    <n v="258"/>
    <n v="18.48"/>
    <n v="4767.84"/>
    <n v="3845.04"/>
    <n v="922.8"/>
    <x v="26"/>
  </r>
  <r>
    <x v="3"/>
    <x v="7"/>
    <x v="1"/>
    <x v="8"/>
    <x v="1"/>
    <x v="2"/>
    <n v="324"/>
    <n v="296.08999999999997"/>
    <n v="95933.16"/>
    <n v="72088.37"/>
    <n v="23844.79"/>
    <x v="26"/>
  </r>
  <r>
    <x v="1"/>
    <x v="1"/>
    <x v="0"/>
    <x v="0"/>
    <x v="1"/>
    <x v="0"/>
    <n v="120"/>
    <n v="181.95"/>
    <n v="21834"/>
    <n v="16263.14"/>
    <n v="5570.86"/>
    <x v="26"/>
  </r>
  <r>
    <x v="0"/>
    <x v="0"/>
    <x v="1"/>
    <x v="11"/>
    <x v="4"/>
    <x v="1"/>
    <n v="93"/>
    <n v="189.71"/>
    <n v="17643.03"/>
    <n v="13064.63"/>
    <n v="4578.3999999999996"/>
    <x v="26"/>
  </r>
  <r>
    <x v="3"/>
    <x v="5"/>
    <x v="1"/>
    <x v="5"/>
    <x v="4"/>
    <x v="2"/>
    <n v="76"/>
    <n v="192.04"/>
    <n v="14595.04"/>
    <n v="9979.01"/>
    <n v="4616.03"/>
    <x v="27"/>
  </r>
  <r>
    <x v="3"/>
    <x v="11"/>
    <x v="1"/>
    <x v="8"/>
    <x v="1"/>
    <x v="1"/>
    <n v="385"/>
    <n v="162.68"/>
    <n v="62631.8"/>
    <n v="39337.54"/>
    <n v="23294.26"/>
    <x v="27"/>
  </r>
  <r>
    <x v="3"/>
    <x v="5"/>
    <x v="1"/>
    <x v="8"/>
    <x v="4"/>
    <x v="1"/>
    <n v="115"/>
    <n v="254.99"/>
    <n v="29323.85"/>
    <n v="19560.03"/>
    <n v="9763.82"/>
    <x v="27"/>
  </r>
  <r>
    <x v="0"/>
    <x v="0"/>
    <x v="0"/>
    <x v="9"/>
    <x v="4"/>
    <x v="0"/>
    <n v="330"/>
    <n v="142.88999999999999"/>
    <n v="47153.7"/>
    <n v="37503.089999999997"/>
    <n v="9650.61"/>
    <x v="27"/>
  </r>
  <r>
    <x v="0"/>
    <x v="9"/>
    <x v="0"/>
    <x v="7"/>
    <x v="4"/>
    <x v="1"/>
    <n v="267"/>
    <n v="48.2"/>
    <n v="12869.4"/>
    <n v="10057.370000000001"/>
    <n v="2812.03"/>
    <x v="27"/>
  </r>
  <r>
    <x v="2"/>
    <x v="12"/>
    <x v="0"/>
    <x v="0"/>
    <x v="4"/>
    <x v="1"/>
    <n v="72"/>
    <n v="38.67"/>
    <n v="2784.24"/>
    <n v="2289.8000000000002"/>
    <n v="494.44"/>
    <x v="27"/>
  </r>
  <r>
    <x v="3"/>
    <x v="11"/>
    <x v="1"/>
    <x v="3"/>
    <x v="0"/>
    <x v="1"/>
    <n v="122"/>
    <n v="172.35"/>
    <n v="21026.7"/>
    <n v="13224.97"/>
    <n v="7801.73"/>
    <x v="27"/>
  </r>
  <r>
    <x v="0"/>
    <x v="10"/>
    <x v="1"/>
    <x v="3"/>
    <x v="1"/>
    <x v="0"/>
    <n v="144"/>
    <n v="62.37"/>
    <n v="8981.2800000000007"/>
    <n v="5509.7"/>
    <n v="3471.58"/>
    <x v="27"/>
  </r>
  <r>
    <x v="1"/>
    <x v="2"/>
    <x v="0"/>
    <x v="7"/>
    <x v="2"/>
    <x v="0"/>
    <n v="138"/>
    <n v="23.02"/>
    <n v="3176.76"/>
    <n v="2510.44"/>
    <n v="666.32"/>
    <x v="27"/>
  </r>
  <r>
    <x v="2"/>
    <x v="16"/>
    <x v="0"/>
    <x v="1"/>
    <x v="1"/>
    <x v="1"/>
    <n v="231"/>
    <n v="172.65"/>
    <n v="39882.15"/>
    <n v="32543.45"/>
    <n v="7338.7"/>
    <x v="27"/>
  </r>
  <r>
    <x v="3"/>
    <x v="7"/>
    <x v="1"/>
    <x v="10"/>
    <x v="1"/>
    <x v="0"/>
    <n v="253"/>
    <n v="70.47"/>
    <n v="17828.91"/>
    <n v="14845.22"/>
    <n v="2983.69"/>
    <x v="27"/>
  </r>
  <r>
    <x v="0"/>
    <x v="13"/>
    <x v="1"/>
    <x v="10"/>
    <x v="4"/>
    <x v="1"/>
    <n v="403"/>
    <n v="147.34"/>
    <n v="59378.02"/>
    <n v="36486.61"/>
    <n v="22891.41"/>
    <x v="27"/>
  </r>
  <r>
    <x v="1"/>
    <x v="6"/>
    <x v="0"/>
    <x v="7"/>
    <x v="1"/>
    <x v="1"/>
    <n v="95"/>
    <n v="94.27"/>
    <n v="8955.65"/>
    <n v="7135.35"/>
    <n v="1820.3"/>
    <x v="27"/>
  </r>
  <r>
    <x v="0"/>
    <x v="10"/>
    <x v="1"/>
    <x v="10"/>
    <x v="1"/>
    <x v="2"/>
    <n v="434"/>
    <n v="16.39"/>
    <n v="7113.26"/>
    <n v="5548.36"/>
    <n v="1564.9"/>
    <x v="27"/>
  </r>
  <r>
    <x v="2"/>
    <x v="16"/>
    <x v="0"/>
    <x v="1"/>
    <x v="1"/>
    <x v="2"/>
    <n v="237"/>
    <n v="165.76"/>
    <n v="39285.120000000003"/>
    <n v="29334.6"/>
    <n v="9950.52"/>
    <x v="27"/>
  </r>
  <r>
    <x v="1"/>
    <x v="2"/>
    <x v="1"/>
    <x v="8"/>
    <x v="1"/>
    <x v="2"/>
    <n v="191"/>
    <n v="87.34"/>
    <n v="16681.939999999999"/>
    <n v="13032.17"/>
    <n v="3649.77"/>
    <x v="27"/>
  </r>
  <r>
    <x v="0"/>
    <x v="0"/>
    <x v="1"/>
    <x v="11"/>
    <x v="1"/>
    <x v="0"/>
    <n v="130"/>
    <n v="287.83999999999997"/>
    <n v="37419.199999999997"/>
    <n v="25893.53"/>
    <n v="11525.67"/>
    <x v="27"/>
  </r>
  <r>
    <x v="2"/>
    <x v="3"/>
    <x v="0"/>
    <x v="9"/>
    <x v="1"/>
    <x v="2"/>
    <n v="353"/>
    <n v="164.16"/>
    <n v="57948.480000000003"/>
    <n v="47515.76"/>
    <n v="10432.719999999999"/>
    <x v="27"/>
  </r>
  <r>
    <x v="2"/>
    <x v="14"/>
    <x v="1"/>
    <x v="3"/>
    <x v="3"/>
    <x v="2"/>
    <n v="101"/>
    <n v="213.71"/>
    <n v="21584.71"/>
    <n v="15970.79"/>
    <n v="5613.92"/>
    <x v="27"/>
  </r>
  <r>
    <x v="1"/>
    <x v="2"/>
    <x v="1"/>
    <x v="8"/>
    <x v="2"/>
    <x v="2"/>
    <n v="425"/>
    <n v="96.66"/>
    <n v="41080.5"/>
    <n v="34252.94"/>
    <n v="6827.56"/>
    <x v="27"/>
  </r>
  <r>
    <x v="3"/>
    <x v="11"/>
    <x v="0"/>
    <x v="0"/>
    <x v="3"/>
    <x v="1"/>
    <n v="384"/>
    <n v="164.48"/>
    <n v="63160.32"/>
    <n v="47924.3"/>
    <n v="15236.02"/>
    <x v="27"/>
  </r>
  <r>
    <x v="2"/>
    <x v="12"/>
    <x v="1"/>
    <x v="8"/>
    <x v="3"/>
    <x v="0"/>
    <n v="328"/>
    <n v="73.98"/>
    <n v="24265.439999999999"/>
    <n v="18188.310000000001"/>
    <n v="6077.13"/>
    <x v="27"/>
  </r>
  <r>
    <x v="0"/>
    <x v="9"/>
    <x v="1"/>
    <x v="5"/>
    <x v="0"/>
    <x v="2"/>
    <n v="233"/>
    <n v="29.45"/>
    <n v="6861.85"/>
    <n v="5403.64"/>
    <n v="1458.21"/>
    <x v="27"/>
  </r>
  <r>
    <x v="0"/>
    <x v="0"/>
    <x v="1"/>
    <x v="5"/>
    <x v="2"/>
    <x v="2"/>
    <n v="423"/>
    <n v="10.07"/>
    <n v="4259.6099999999997"/>
    <n v="2753.28"/>
    <n v="1506.33"/>
    <x v="27"/>
  </r>
  <r>
    <x v="2"/>
    <x v="4"/>
    <x v="0"/>
    <x v="9"/>
    <x v="4"/>
    <x v="2"/>
    <n v="20"/>
    <n v="85.23"/>
    <n v="1704.6"/>
    <n v="1184.57"/>
    <n v="520.03"/>
    <x v="27"/>
  </r>
  <r>
    <x v="2"/>
    <x v="4"/>
    <x v="0"/>
    <x v="1"/>
    <x v="0"/>
    <x v="2"/>
    <n v="340"/>
    <n v="35.49"/>
    <n v="12066.6"/>
    <n v="9670.9699999999993"/>
    <n v="2395.63"/>
    <x v="27"/>
  </r>
  <r>
    <x v="2"/>
    <x v="4"/>
    <x v="1"/>
    <x v="3"/>
    <x v="3"/>
    <x v="1"/>
    <n v="117"/>
    <n v="221.66"/>
    <n v="25934.22"/>
    <n v="21280.7"/>
    <n v="4653.5200000000004"/>
    <x v="27"/>
  </r>
  <r>
    <x v="3"/>
    <x v="5"/>
    <x v="1"/>
    <x v="11"/>
    <x v="2"/>
    <x v="1"/>
    <n v="420"/>
    <n v="261.3"/>
    <n v="109746"/>
    <n v="81536.039999999994"/>
    <n v="28209.96"/>
    <x v="27"/>
  </r>
  <r>
    <x v="0"/>
    <x v="9"/>
    <x v="0"/>
    <x v="9"/>
    <x v="0"/>
    <x v="0"/>
    <n v="37"/>
    <n v="59.84"/>
    <n v="2214.08"/>
    <n v="1681.53"/>
    <n v="532.54999999999995"/>
    <x v="27"/>
  </r>
  <r>
    <x v="3"/>
    <x v="7"/>
    <x v="0"/>
    <x v="7"/>
    <x v="0"/>
    <x v="2"/>
    <n v="137"/>
    <n v="244.66"/>
    <n v="33518.42"/>
    <n v="27522.18"/>
    <n v="5996.24"/>
    <x v="27"/>
  </r>
  <r>
    <x v="0"/>
    <x v="0"/>
    <x v="1"/>
    <x v="10"/>
    <x v="3"/>
    <x v="2"/>
    <n v="436"/>
    <n v="15.29"/>
    <n v="6666.44"/>
    <n v="4326.1499999999996"/>
    <n v="2340.29"/>
    <x v="28"/>
  </r>
  <r>
    <x v="3"/>
    <x v="8"/>
    <x v="0"/>
    <x v="9"/>
    <x v="1"/>
    <x v="1"/>
    <n v="356"/>
    <n v="225.64"/>
    <n v="80327.839999999997"/>
    <n v="58363.519999999997"/>
    <n v="21964.32"/>
    <x v="28"/>
  </r>
  <r>
    <x v="3"/>
    <x v="5"/>
    <x v="1"/>
    <x v="5"/>
    <x v="0"/>
    <x v="1"/>
    <n v="403"/>
    <n v="267"/>
    <n v="107601"/>
    <n v="80513.64"/>
    <n v="27087.360000000001"/>
    <x v="28"/>
  </r>
  <r>
    <x v="2"/>
    <x v="3"/>
    <x v="0"/>
    <x v="7"/>
    <x v="1"/>
    <x v="2"/>
    <n v="394"/>
    <n v="30.9"/>
    <n v="12174.6"/>
    <n v="7521.64"/>
    <n v="4652.96"/>
    <x v="28"/>
  </r>
  <r>
    <x v="1"/>
    <x v="6"/>
    <x v="1"/>
    <x v="8"/>
    <x v="4"/>
    <x v="2"/>
    <n v="88"/>
    <n v="141.57"/>
    <n v="12458.16"/>
    <n v="9126.7099999999991"/>
    <n v="3331.45"/>
    <x v="28"/>
  </r>
  <r>
    <x v="2"/>
    <x v="3"/>
    <x v="1"/>
    <x v="4"/>
    <x v="0"/>
    <x v="1"/>
    <n v="242"/>
    <n v="113.24"/>
    <n v="27404.080000000002"/>
    <n v="22568.75"/>
    <n v="4835.33"/>
    <x v="28"/>
  </r>
  <r>
    <x v="2"/>
    <x v="16"/>
    <x v="1"/>
    <x v="11"/>
    <x v="1"/>
    <x v="1"/>
    <n v="198"/>
    <n v="63.49"/>
    <n v="12571.02"/>
    <n v="8484.17"/>
    <n v="4086.85"/>
    <x v="28"/>
  </r>
  <r>
    <x v="3"/>
    <x v="7"/>
    <x v="0"/>
    <x v="1"/>
    <x v="0"/>
    <x v="0"/>
    <n v="68"/>
    <n v="220.43"/>
    <n v="14989.24"/>
    <n v="11315.88"/>
    <n v="3673.36"/>
    <x v="28"/>
  </r>
  <r>
    <x v="0"/>
    <x v="13"/>
    <x v="0"/>
    <x v="7"/>
    <x v="2"/>
    <x v="1"/>
    <n v="444"/>
    <n v="88.92"/>
    <n v="39480.480000000003"/>
    <n v="29513.94"/>
    <n v="9966.5400000000009"/>
    <x v="28"/>
  </r>
  <r>
    <x v="1"/>
    <x v="1"/>
    <x v="0"/>
    <x v="0"/>
    <x v="4"/>
    <x v="2"/>
    <n v="421"/>
    <n v="265.76"/>
    <n v="111884.96"/>
    <n v="79088.39"/>
    <n v="32796.57"/>
    <x v="28"/>
  </r>
  <r>
    <x v="2"/>
    <x v="4"/>
    <x v="0"/>
    <x v="1"/>
    <x v="3"/>
    <x v="2"/>
    <n v="442"/>
    <n v="293.25"/>
    <n v="129616.5"/>
    <n v="104444.13"/>
    <n v="25172.37"/>
    <x v="28"/>
  </r>
  <r>
    <x v="2"/>
    <x v="3"/>
    <x v="1"/>
    <x v="4"/>
    <x v="1"/>
    <x v="2"/>
    <n v="74"/>
    <n v="149.31"/>
    <n v="11048.94"/>
    <n v="9350.9599999999991"/>
    <n v="1697.98"/>
    <x v="28"/>
  </r>
  <r>
    <x v="1"/>
    <x v="1"/>
    <x v="0"/>
    <x v="2"/>
    <x v="2"/>
    <x v="2"/>
    <n v="124"/>
    <n v="211.25"/>
    <n v="26195"/>
    <n v="19271.169999999998"/>
    <n v="6923.83"/>
    <x v="28"/>
  </r>
  <r>
    <x v="2"/>
    <x v="14"/>
    <x v="1"/>
    <x v="5"/>
    <x v="3"/>
    <x v="2"/>
    <n v="11"/>
    <n v="62.48"/>
    <n v="687.28"/>
    <n v="559.16999999999996"/>
    <n v="128.11000000000001"/>
    <x v="28"/>
  </r>
  <r>
    <x v="0"/>
    <x v="10"/>
    <x v="1"/>
    <x v="6"/>
    <x v="1"/>
    <x v="2"/>
    <n v="473"/>
    <n v="256.27"/>
    <n v="121215.71"/>
    <n v="80295.350000000006"/>
    <n v="40920.36"/>
    <x v="28"/>
  </r>
  <r>
    <x v="1"/>
    <x v="1"/>
    <x v="1"/>
    <x v="11"/>
    <x v="2"/>
    <x v="2"/>
    <n v="444"/>
    <n v="267.20999999999998"/>
    <n v="118641.24"/>
    <n v="90339.69"/>
    <n v="28301.55"/>
    <x v="28"/>
  </r>
  <r>
    <x v="1"/>
    <x v="6"/>
    <x v="0"/>
    <x v="2"/>
    <x v="2"/>
    <x v="1"/>
    <n v="403"/>
    <n v="88.87"/>
    <n v="35814.61"/>
    <n v="28288.15"/>
    <n v="7526.46"/>
    <x v="28"/>
  </r>
  <r>
    <x v="0"/>
    <x v="0"/>
    <x v="0"/>
    <x v="2"/>
    <x v="3"/>
    <x v="2"/>
    <n v="100"/>
    <n v="273.74"/>
    <n v="27374"/>
    <n v="21366.39"/>
    <n v="6007.61"/>
    <x v="28"/>
  </r>
  <r>
    <x v="2"/>
    <x v="12"/>
    <x v="1"/>
    <x v="5"/>
    <x v="1"/>
    <x v="1"/>
    <n v="269"/>
    <n v="38.799999999999997"/>
    <n v="10437.200000000001"/>
    <n v="6807.31"/>
    <n v="3629.89"/>
    <x v="28"/>
  </r>
  <r>
    <x v="1"/>
    <x v="6"/>
    <x v="1"/>
    <x v="4"/>
    <x v="3"/>
    <x v="0"/>
    <n v="346"/>
    <n v="213.34"/>
    <n v="73815.64"/>
    <n v="57706.42"/>
    <n v="16109.22"/>
    <x v="28"/>
  </r>
  <r>
    <x v="3"/>
    <x v="8"/>
    <x v="1"/>
    <x v="10"/>
    <x v="0"/>
    <x v="1"/>
    <n v="374"/>
    <n v="54.85"/>
    <n v="20513.900000000001"/>
    <n v="15505.09"/>
    <n v="5008.8100000000004"/>
    <x v="28"/>
  </r>
  <r>
    <x v="2"/>
    <x v="16"/>
    <x v="0"/>
    <x v="7"/>
    <x v="4"/>
    <x v="1"/>
    <n v="71"/>
    <n v="114.06"/>
    <n v="8098.26"/>
    <n v="6634.91"/>
    <n v="1463.35"/>
    <x v="28"/>
  </r>
  <r>
    <x v="3"/>
    <x v="11"/>
    <x v="0"/>
    <x v="7"/>
    <x v="1"/>
    <x v="0"/>
    <n v="241"/>
    <n v="143.83000000000001"/>
    <n v="34663.03"/>
    <n v="26319.65"/>
    <n v="8343.3799999999992"/>
    <x v="28"/>
  </r>
  <r>
    <x v="2"/>
    <x v="12"/>
    <x v="0"/>
    <x v="1"/>
    <x v="4"/>
    <x v="1"/>
    <n v="102"/>
    <n v="107.73"/>
    <n v="10988.46"/>
    <n v="8870.11"/>
    <n v="2118.35"/>
    <x v="28"/>
  </r>
  <r>
    <x v="1"/>
    <x v="1"/>
    <x v="0"/>
    <x v="0"/>
    <x v="1"/>
    <x v="1"/>
    <n v="260"/>
    <n v="127.01"/>
    <n v="33022.6"/>
    <n v="20919.939999999999"/>
    <n v="12102.66"/>
    <x v="28"/>
  </r>
  <r>
    <x v="2"/>
    <x v="16"/>
    <x v="1"/>
    <x v="8"/>
    <x v="4"/>
    <x v="1"/>
    <n v="350"/>
    <n v="246.37"/>
    <n v="86229.5"/>
    <n v="62475.23"/>
    <n v="23754.27"/>
    <x v="28"/>
  </r>
  <r>
    <x v="0"/>
    <x v="10"/>
    <x v="0"/>
    <x v="0"/>
    <x v="2"/>
    <x v="2"/>
    <n v="182"/>
    <n v="142.96"/>
    <n v="26018.720000000001"/>
    <n v="15858.29"/>
    <n v="10160.43"/>
    <x v="28"/>
  </r>
  <r>
    <x v="1"/>
    <x v="2"/>
    <x v="1"/>
    <x v="3"/>
    <x v="4"/>
    <x v="1"/>
    <n v="483"/>
    <n v="165.25"/>
    <n v="79815.75"/>
    <n v="52543.040000000001"/>
    <n v="27272.71"/>
    <x v="28"/>
  </r>
  <r>
    <x v="1"/>
    <x v="2"/>
    <x v="1"/>
    <x v="4"/>
    <x v="2"/>
    <x v="1"/>
    <n v="235"/>
    <n v="150.38"/>
    <n v="35339.300000000003"/>
    <n v="27807.119999999999"/>
    <n v="7532.18"/>
    <x v="28"/>
  </r>
  <r>
    <x v="0"/>
    <x v="13"/>
    <x v="1"/>
    <x v="3"/>
    <x v="4"/>
    <x v="1"/>
    <n v="191"/>
    <n v="75.31"/>
    <n v="14384.21"/>
    <n v="9102.8700000000008"/>
    <n v="5281.34"/>
    <x v="28"/>
  </r>
  <r>
    <x v="3"/>
    <x v="5"/>
    <x v="0"/>
    <x v="2"/>
    <x v="4"/>
    <x v="1"/>
    <n v="456"/>
    <n v="40.99"/>
    <n v="18691.439999999999"/>
    <n v="13865.83"/>
    <n v="4825.6099999999997"/>
    <x v="28"/>
  </r>
  <r>
    <x v="3"/>
    <x v="8"/>
    <x v="0"/>
    <x v="1"/>
    <x v="4"/>
    <x v="0"/>
    <n v="191"/>
    <n v="252.87"/>
    <n v="48298.17"/>
    <n v="32989.42"/>
    <n v="15308.75"/>
    <x v="28"/>
  </r>
  <r>
    <x v="0"/>
    <x v="10"/>
    <x v="0"/>
    <x v="9"/>
    <x v="2"/>
    <x v="1"/>
    <n v="258"/>
    <n v="170.6"/>
    <n v="44014.8"/>
    <n v="29770.78"/>
    <n v="14244.02"/>
    <x v="28"/>
  </r>
  <r>
    <x v="1"/>
    <x v="6"/>
    <x v="0"/>
    <x v="1"/>
    <x v="4"/>
    <x v="2"/>
    <n v="237"/>
    <n v="92.88"/>
    <n v="22012.560000000001"/>
    <n v="14325.9"/>
    <n v="7686.66"/>
    <x v="28"/>
  </r>
  <r>
    <x v="0"/>
    <x v="13"/>
    <x v="0"/>
    <x v="0"/>
    <x v="1"/>
    <x v="1"/>
    <n v="21"/>
    <n v="291.19"/>
    <n v="6114.99"/>
    <n v="5119.95"/>
    <n v="995.04"/>
    <x v="28"/>
  </r>
  <r>
    <x v="2"/>
    <x v="3"/>
    <x v="1"/>
    <x v="5"/>
    <x v="1"/>
    <x v="0"/>
    <n v="17"/>
    <n v="291.27"/>
    <n v="4951.59"/>
    <n v="3087.19"/>
    <n v="1864.4"/>
    <x v="28"/>
  </r>
  <r>
    <x v="0"/>
    <x v="0"/>
    <x v="0"/>
    <x v="7"/>
    <x v="3"/>
    <x v="1"/>
    <n v="343"/>
    <n v="185.6"/>
    <n v="63660.800000000003"/>
    <n v="42129.63"/>
    <n v="21531.17"/>
    <x v="29"/>
  </r>
  <r>
    <x v="2"/>
    <x v="4"/>
    <x v="1"/>
    <x v="5"/>
    <x v="0"/>
    <x v="2"/>
    <n v="36"/>
    <n v="195.65"/>
    <n v="7043.4"/>
    <n v="4703.49"/>
    <n v="2339.91"/>
    <x v="29"/>
  </r>
  <r>
    <x v="3"/>
    <x v="8"/>
    <x v="1"/>
    <x v="8"/>
    <x v="1"/>
    <x v="2"/>
    <n v="363"/>
    <n v="69.17"/>
    <n v="25108.71"/>
    <n v="18549.59"/>
    <n v="6559.12"/>
    <x v="29"/>
  </r>
  <r>
    <x v="0"/>
    <x v="0"/>
    <x v="0"/>
    <x v="1"/>
    <x v="3"/>
    <x v="0"/>
    <n v="45"/>
    <n v="13.89"/>
    <n v="625.04999999999995"/>
    <n v="419.21"/>
    <n v="205.84"/>
    <x v="29"/>
  </r>
  <r>
    <x v="1"/>
    <x v="15"/>
    <x v="0"/>
    <x v="1"/>
    <x v="2"/>
    <x v="0"/>
    <n v="337"/>
    <n v="217.09"/>
    <n v="73159.33"/>
    <n v="58559.07"/>
    <n v="14600.26"/>
    <x v="29"/>
  </r>
  <r>
    <x v="1"/>
    <x v="6"/>
    <x v="1"/>
    <x v="5"/>
    <x v="2"/>
    <x v="0"/>
    <n v="277"/>
    <n v="58.15"/>
    <n v="16107.55"/>
    <n v="12134.92"/>
    <n v="3972.63"/>
    <x v="29"/>
  </r>
  <r>
    <x v="2"/>
    <x v="12"/>
    <x v="0"/>
    <x v="2"/>
    <x v="1"/>
    <x v="0"/>
    <n v="364"/>
    <n v="169.25"/>
    <n v="61607"/>
    <n v="46699.49"/>
    <n v="14907.51"/>
    <x v="29"/>
  </r>
  <r>
    <x v="0"/>
    <x v="0"/>
    <x v="0"/>
    <x v="9"/>
    <x v="2"/>
    <x v="1"/>
    <n v="190"/>
    <n v="91.92"/>
    <n v="17464.8"/>
    <n v="12335.51"/>
    <n v="5129.29"/>
    <x v="29"/>
  </r>
  <r>
    <x v="0"/>
    <x v="0"/>
    <x v="1"/>
    <x v="4"/>
    <x v="4"/>
    <x v="0"/>
    <n v="182"/>
    <n v="82.79"/>
    <n v="15067.78"/>
    <n v="11165.5"/>
    <n v="3902.28"/>
    <x v="29"/>
  </r>
  <r>
    <x v="3"/>
    <x v="11"/>
    <x v="1"/>
    <x v="8"/>
    <x v="3"/>
    <x v="0"/>
    <n v="120"/>
    <n v="71.22"/>
    <n v="8546.4"/>
    <n v="6972.58"/>
    <n v="1573.82"/>
    <x v="29"/>
  </r>
  <r>
    <x v="2"/>
    <x v="14"/>
    <x v="1"/>
    <x v="10"/>
    <x v="0"/>
    <x v="2"/>
    <n v="314"/>
    <n v="49.68"/>
    <n v="15599.52"/>
    <n v="13065.52"/>
    <n v="2534"/>
    <x v="29"/>
  </r>
  <r>
    <x v="1"/>
    <x v="15"/>
    <x v="1"/>
    <x v="3"/>
    <x v="0"/>
    <x v="2"/>
    <n v="263"/>
    <n v="184.74"/>
    <n v="48586.62"/>
    <n v="33583.050000000003"/>
    <n v="15003.57"/>
    <x v="29"/>
  </r>
  <r>
    <x v="1"/>
    <x v="6"/>
    <x v="1"/>
    <x v="4"/>
    <x v="0"/>
    <x v="2"/>
    <n v="17"/>
    <n v="70.66"/>
    <n v="1201.22"/>
    <n v="735.74"/>
    <n v="465.48"/>
    <x v="29"/>
  </r>
  <r>
    <x v="2"/>
    <x v="14"/>
    <x v="1"/>
    <x v="3"/>
    <x v="1"/>
    <x v="2"/>
    <n v="263"/>
    <n v="51.11"/>
    <n v="13441.93"/>
    <n v="8987.75"/>
    <n v="4454.18"/>
    <x v="29"/>
  </r>
  <r>
    <x v="0"/>
    <x v="10"/>
    <x v="0"/>
    <x v="1"/>
    <x v="1"/>
    <x v="2"/>
    <n v="141"/>
    <n v="206.16"/>
    <n v="29068.560000000001"/>
    <n v="18398.169999999998"/>
    <n v="10670.39"/>
    <x v="29"/>
  </r>
  <r>
    <x v="3"/>
    <x v="11"/>
    <x v="0"/>
    <x v="1"/>
    <x v="4"/>
    <x v="0"/>
    <n v="83"/>
    <n v="241.94"/>
    <n v="20081.02"/>
    <n v="12975.28"/>
    <n v="7105.74"/>
    <x v="29"/>
  </r>
  <r>
    <x v="1"/>
    <x v="6"/>
    <x v="0"/>
    <x v="0"/>
    <x v="4"/>
    <x v="1"/>
    <n v="374"/>
    <n v="272.77999999999997"/>
    <n v="102019.72"/>
    <n v="68274.259999999995"/>
    <n v="33745.46"/>
    <x v="29"/>
  </r>
  <r>
    <x v="0"/>
    <x v="10"/>
    <x v="0"/>
    <x v="7"/>
    <x v="3"/>
    <x v="1"/>
    <n v="95"/>
    <n v="84.04"/>
    <n v="7983.8"/>
    <n v="6110.87"/>
    <n v="1872.93"/>
    <x v="29"/>
  </r>
  <r>
    <x v="1"/>
    <x v="1"/>
    <x v="0"/>
    <x v="7"/>
    <x v="4"/>
    <x v="2"/>
    <n v="156"/>
    <n v="182.93"/>
    <n v="28537.08"/>
    <n v="21043.13"/>
    <n v="7493.95"/>
    <x v="29"/>
  </r>
  <r>
    <x v="1"/>
    <x v="6"/>
    <x v="1"/>
    <x v="6"/>
    <x v="4"/>
    <x v="2"/>
    <n v="151"/>
    <n v="93.7"/>
    <n v="14148.7"/>
    <n v="10545.16"/>
    <n v="3603.54"/>
    <x v="29"/>
  </r>
  <r>
    <x v="0"/>
    <x v="13"/>
    <x v="1"/>
    <x v="4"/>
    <x v="4"/>
    <x v="1"/>
    <n v="279"/>
    <n v="44.95"/>
    <n v="12541.05"/>
    <n v="9816.58"/>
    <n v="2724.47"/>
    <x v="29"/>
  </r>
  <r>
    <x v="1"/>
    <x v="15"/>
    <x v="1"/>
    <x v="11"/>
    <x v="3"/>
    <x v="1"/>
    <n v="197"/>
    <n v="75.62"/>
    <n v="14897.14"/>
    <n v="10369.299999999999"/>
    <n v="4527.84"/>
    <x v="29"/>
  </r>
  <r>
    <x v="2"/>
    <x v="12"/>
    <x v="1"/>
    <x v="11"/>
    <x v="2"/>
    <x v="0"/>
    <n v="31"/>
    <n v="166.47"/>
    <n v="5160.57"/>
    <n v="4035.5"/>
    <n v="1125.07"/>
    <x v="29"/>
  </r>
  <r>
    <x v="0"/>
    <x v="0"/>
    <x v="1"/>
    <x v="4"/>
    <x v="0"/>
    <x v="0"/>
    <n v="452"/>
    <n v="221.77"/>
    <n v="100240.04"/>
    <n v="75150.17"/>
    <n v="25089.87"/>
    <x v="29"/>
  </r>
  <r>
    <x v="1"/>
    <x v="6"/>
    <x v="0"/>
    <x v="9"/>
    <x v="1"/>
    <x v="0"/>
    <n v="136"/>
    <n v="162.66"/>
    <n v="22121.759999999998"/>
    <n v="17319.07"/>
    <n v="4802.6899999999996"/>
    <x v="29"/>
  </r>
  <r>
    <x v="2"/>
    <x v="12"/>
    <x v="0"/>
    <x v="0"/>
    <x v="1"/>
    <x v="2"/>
    <n v="219"/>
    <n v="114.94"/>
    <n v="25171.86"/>
    <n v="18076.5"/>
    <n v="7095.36"/>
    <x v="29"/>
  </r>
  <r>
    <x v="1"/>
    <x v="1"/>
    <x v="1"/>
    <x v="10"/>
    <x v="3"/>
    <x v="2"/>
    <n v="392"/>
    <n v="229.94"/>
    <n v="90136.48"/>
    <n v="71075.039999999994"/>
    <n v="19061.439999999999"/>
    <x v="29"/>
  </r>
  <r>
    <x v="2"/>
    <x v="16"/>
    <x v="0"/>
    <x v="0"/>
    <x v="1"/>
    <x v="2"/>
    <n v="16"/>
    <n v="100.73"/>
    <n v="1611.68"/>
    <n v="1343.86"/>
    <n v="267.82"/>
    <x v="29"/>
  </r>
  <r>
    <x v="0"/>
    <x v="13"/>
    <x v="0"/>
    <x v="7"/>
    <x v="3"/>
    <x v="0"/>
    <n v="76"/>
    <n v="211.3"/>
    <n v="16058.8"/>
    <n v="11693.44"/>
    <n v="4365.3599999999997"/>
    <x v="29"/>
  </r>
  <r>
    <x v="3"/>
    <x v="5"/>
    <x v="0"/>
    <x v="0"/>
    <x v="0"/>
    <x v="2"/>
    <n v="282"/>
    <n v="206.07"/>
    <n v="58111.74"/>
    <n v="48581.16"/>
    <n v="9530.58"/>
    <x v="30"/>
  </r>
  <r>
    <x v="3"/>
    <x v="8"/>
    <x v="1"/>
    <x v="11"/>
    <x v="4"/>
    <x v="1"/>
    <n v="359"/>
    <n v="62.53"/>
    <n v="22448.27"/>
    <n v="17291.439999999999"/>
    <n v="5156.83"/>
    <x v="30"/>
  </r>
  <r>
    <x v="2"/>
    <x v="12"/>
    <x v="1"/>
    <x v="6"/>
    <x v="2"/>
    <x v="0"/>
    <n v="31"/>
    <n v="209.44"/>
    <n v="6492.64"/>
    <n v="5068.6499999999996"/>
    <n v="1423.99"/>
    <x v="30"/>
  </r>
  <r>
    <x v="1"/>
    <x v="2"/>
    <x v="1"/>
    <x v="6"/>
    <x v="4"/>
    <x v="2"/>
    <n v="485"/>
    <n v="69.790000000000006"/>
    <n v="33848.15"/>
    <n v="25707.34"/>
    <n v="8140.81"/>
    <x v="30"/>
  </r>
  <r>
    <x v="2"/>
    <x v="4"/>
    <x v="0"/>
    <x v="0"/>
    <x v="1"/>
    <x v="1"/>
    <n v="315"/>
    <n v="100.83"/>
    <n v="31761.45"/>
    <n v="20224.59"/>
    <n v="11536.86"/>
    <x v="30"/>
  </r>
  <r>
    <x v="3"/>
    <x v="8"/>
    <x v="0"/>
    <x v="7"/>
    <x v="3"/>
    <x v="2"/>
    <n v="111"/>
    <n v="31.23"/>
    <n v="3466.53"/>
    <n v="2602.89"/>
    <n v="863.64"/>
    <x v="30"/>
  </r>
  <r>
    <x v="0"/>
    <x v="13"/>
    <x v="1"/>
    <x v="11"/>
    <x v="4"/>
    <x v="1"/>
    <n v="150"/>
    <n v="237.61"/>
    <n v="35641.5"/>
    <n v="27920.54"/>
    <n v="7720.96"/>
    <x v="30"/>
  </r>
  <r>
    <x v="1"/>
    <x v="6"/>
    <x v="1"/>
    <x v="4"/>
    <x v="4"/>
    <x v="1"/>
    <n v="48"/>
    <n v="255.49"/>
    <n v="12263.52"/>
    <n v="10175.43"/>
    <n v="2088.09"/>
    <x v="30"/>
  </r>
  <r>
    <x v="0"/>
    <x v="13"/>
    <x v="0"/>
    <x v="9"/>
    <x v="0"/>
    <x v="2"/>
    <n v="330"/>
    <n v="34.47"/>
    <n v="11375.1"/>
    <n v="7960.77"/>
    <n v="3414.33"/>
    <x v="30"/>
  </r>
  <r>
    <x v="2"/>
    <x v="3"/>
    <x v="1"/>
    <x v="6"/>
    <x v="0"/>
    <x v="0"/>
    <n v="211"/>
    <n v="242.83"/>
    <n v="51237.13"/>
    <n v="30801.61"/>
    <n v="20435.52"/>
    <x v="30"/>
  </r>
  <r>
    <x v="1"/>
    <x v="15"/>
    <x v="1"/>
    <x v="6"/>
    <x v="1"/>
    <x v="2"/>
    <n v="378"/>
    <n v="17.309999999999999"/>
    <n v="6543.18"/>
    <n v="5298.34"/>
    <n v="1244.8399999999999"/>
    <x v="30"/>
  </r>
  <r>
    <x v="1"/>
    <x v="2"/>
    <x v="0"/>
    <x v="9"/>
    <x v="2"/>
    <x v="0"/>
    <n v="31"/>
    <n v="205.08"/>
    <n v="6357.48"/>
    <n v="5080.71"/>
    <n v="1276.77"/>
    <x v="30"/>
  </r>
  <r>
    <x v="3"/>
    <x v="5"/>
    <x v="0"/>
    <x v="7"/>
    <x v="2"/>
    <x v="0"/>
    <n v="480"/>
    <n v="49.76"/>
    <n v="23884.799999999999"/>
    <n v="17527.32"/>
    <n v="6357.48"/>
    <x v="30"/>
  </r>
  <r>
    <x v="1"/>
    <x v="15"/>
    <x v="1"/>
    <x v="6"/>
    <x v="4"/>
    <x v="1"/>
    <n v="150"/>
    <n v="165.73"/>
    <n v="24859.5"/>
    <n v="20224.05"/>
    <n v="4635.45"/>
    <x v="30"/>
  </r>
  <r>
    <x v="2"/>
    <x v="16"/>
    <x v="0"/>
    <x v="1"/>
    <x v="2"/>
    <x v="0"/>
    <n v="93"/>
    <n v="173.87"/>
    <n v="16169.91"/>
    <n v="12821.23"/>
    <n v="3348.68"/>
    <x v="30"/>
  </r>
  <r>
    <x v="2"/>
    <x v="14"/>
    <x v="0"/>
    <x v="9"/>
    <x v="0"/>
    <x v="2"/>
    <n v="202"/>
    <n v="99.56"/>
    <n v="20111.12"/>
    <n v="14491.39"/>
    <n v="5619.73"/>
    <x v="30"/>
  </r>
  <r>
    <x v="2"/>
    <x v="16"/>
    <x v="0"/>
    <x v="2"/>
    <x v="4"/>
    <x v="0"/>
    <n v="388"/>
    <n v="100.52"/>
    <n v="39001.760000000002"/>
    <n v="27291.93"/>
    <n v="11709.83"/>
    <x v="30"/>
  </r>
  <r>
    <x v="0"/>
    <x v="13"/>
    <x v="0"/>
    <x v="2"/>
    <x v="2"/>
    <x v="1"/>
    <n v="391"/>
    <n v="85.61"/>
    <n v="33473.51"/>
    <n v="20663.650000000001"/>
    <n v="12809.86"/>
    <x v="30"/>
  </r>
  <r>
    <x v="3"/>
    <x v="11"/>
    <x v="0"/>
    <x v="1"/>
    <x v="0"/>
    <x v="0"/>
    <n v="302"/>
    <n v="128.72999999999999"/>
    <n v="38876.46"/>
    <n v="28691.29"/>
    <n v="10185.17"/>
    <x v="30"/>
  </r>
  <r>
    <x v="2"/>
    <x v="16"/>
    <x v="0"/>
    <x v="2"/>
    <x v="0"/>
    <x v="2"/>
    <n v="126"/>
    <n v="124.7"/>
    <n v="15712.2"/>
    <n v="11808.46"/>
    <n v="3903.74"/>
    <x v="30"/>
  </r>
  <r>
    <x v="3"/>
    <x v="5"/>
    <x v="1"/>
    <x v="6"/>
    <x v="0"/>
    <x v="0"/>
    <n v="325"/>
    <n v="57.46"/>
    <n v="18674.5"/>
    <n v="11971.6"/>
    <n v="6702.9"/>
    <x v="30"/>
  </r>
  <r>
    <x v="2"/>
    <x v="16"/>
    <x v="0"/>
    <x v="1"/>
    <x v="1"/>
    <x v="0"/>
    <n v="95"/>
    <n v="184.89"/>
    <n v="17564.55"/>
    <n v="14207.12"/>
    <n v="3357.43"/>
    <x v="30"/>
  </r>
  <r>
    <x v="2"/>
    <x v="16"/>
    <x v="0"/>
    <x v="7"/>
    <x v="0"/>
    <x v="2"/>
    <n v="273"/>
    <n v="88.71"/>
    <n v="24217.83"/>
    <n v="17537.919999999998"/>
    <n v="6679.91"/>
    <x v="30"/>
  </r>
  <r>
    <x v="0"/>
    <x v="13"/>
    <x v="1"/>
    <x v="6"/>
    <x v="3"/>
    <x v="0"/>
    <n v="59"/>
    <n v="257.60000000000002"/>
    <n v="15198.4"/>
    <n v="10038.459999999999"/>
    <n v="5159.9399999999996"/>
    <x v="30"/>
  </r>
  <r>
    <x v="2"/>
    <x v="14"/>
    <x v="0"/>
    <x v="9"/>
    <x v="4"/>
    <x v="2"/>
    <n v="172"/>
    <n v="200.45"/>
    <n v="34477.4"/>
    <n v="23489.37"/>
    <n v="10988.03"/>
    <x v="30"/>
  </r>
  <r>
    <x v="3"/>
    <x v="7"/>
    <x v="0"/>
    <x v="1"/>
    <x v="0"/>
    <x v="1"/>
    <n v="338"/>
    <n v="151.4"/>
    <n v="51173.2"/>
    <n v="31133.95"/>
    <n v="20039.25"/>
    <x v="30"/>
  </r>
  <r>
    <x v="3"/>
    <x v="5"/>
    <x v="0"/>
    <x v="2"/>
    <x v="1"/>
    <x v="2"/>
    <n v="382"/>
    <n v="221.95"/>
    <n v="84784.9"/>
    <n v="70760.22"/>
    <n v="14024.68"/>
    <x v="30"/>
  </r>
  <r>
    <x v="2"/>
    <x v="4"/>
    <x v="0"/>
    <x v="0"/>
    <x v="0"/>
    <x v="0"/>
    <n v="342"/>
    <n v="21.03"/>
    <n v="7192.26"/>
    <n v="5657.09"/>
    <n v="1535.17"/>
    <x v="30"/>
  </r>
  <r>
    <x v="3"/>
    <x v="5"/>
    <x v="1"/>
    <x v="11"/>
    <x v="0"/>
    <x v="2"/>
    <n v="199"/>
    <n v="160.49"/>
    <n v="31937.51"/>
    <n v="19537.5"/>
    <n v="12400.01"/>
    <x v="30"/>
  </r>
  <r>
    <x v="0"/>
    <x v="9"/>
    <x v="0"/>
    <x v="2"/>
    <x v="2"/>
    <x v="0"/>
    <n v="216"/>
    <n v="171.86"/>
    <n v="37121.760000000002"/>
    <n v="27283.62"/>
    <n v="9838.14"/>
    <x v="31"/>
  </r>
  <r>
    <x v="2"/>
    <x v="3"/>
    <x v="0"/>
    <x v="7"/>
    <x v="0"/>
    <x v="2"/>
    <n v="449"/>
    <n v="197.84"/>
    <n v="88830.16"/>
    <n v="70980.639999999999"/>
    <n v="17849.52"/>
    <x v="31"/>
  </r>
  <r>
    <x v="3"/>
    <x v="8"/>
    <x v="0"/>
    <x v="2"/>
    <x v="3"/>
    <x v="0"/>
    <n v="331"/>
    <n v="31.14"/>
    <n v="10307.34"/>
    <n v="7222.54"/>
    <n v="3084.8"/>
    <x v="31"/>
  </r>
  <r>
    <x v="0"/>
    <x v="0"/>
    <x v="1"/>
    <x v="10"/>
    <x v="4"/>
    <x v="2"/>
    <n v="432"/>
    <n v="215.27"/>
    <n v="92996.64"/>
    <n v="68434.789999999994"/>
    <n v="24561.85"/>
    <x v="31"/>
  </r>
  <r>
    <x v="2"/>
    <x v="14"/>
    <x v="0"/>
    <x v="2"/>
    <x v="1"/>
    <x v="1"/>
    <n v="245"/>
    <n v="19.079999999999998"/>
    <n v="4674.6000000000004"/>
    <n v="3659.36"/>
    <n v="1015.24"/>
    <x v="31"/>
  </r>
  <r>
    <x v="2"/>
    <x v="14"/>
    <x v="0"/>
    <x v="9"/>
    <x v="4"/>
    <x v="1"/>
    <n v="441"/>
    <n v="15.18"/>
    <n v="6694.38"/>
    <n v="5669.68"/>
    <n v="1024.7"/>
    <x v="31"/>
  </r>
  <r>
    <x v="2"/>
    <x v="14"/>
    <x v="0"/>
    <x v="7"/>
    <x v="3"/>
    <x v="1"/>
    <n v="177"/>
    <n v="75.58"/>
    <n v="13377.66"/>
    <n v="9043.9599999999991"/>
    <n v="4333.7"/>
    <x v="31"/>
  </r>
  <r>
    <x v="3"/>
    <x v="5"/>
    <x v="0"/>
    <x v="2"/>
    <x v="4"/>
    <x v="0"/>
    <n v="184"/>
    <n v="202.5"/>
    <n v="37260"/>
    <n v="26777.19"/>
    <n v="10482.81"/>
    <x v="31"/>
  </r>
  <r>
    <x v="0"/>
    <x v="0"/>
    <x v="0"/>
    <x v="0"/>
    <x v="0"/>
    <x v="0"/>
    <n v="32"/>
    <n v="83.73"/>
    <n v="2679.36"/>
    <n v="2194.0700000000002"/>
    <n v="485.29"/>
    <x v="31"/>
  </r>
  <r>
    <x v="0"/>
    <x v="13"/>
    <x v="0"/>
    <x v="0"/>
    <x v="4"/>
    <x v="1"/>
    <n v="325"/>
    <n v="29.61"/>
    <n v="9623.25"/>
    <n v="7699.46"/>
    <n v="1923.79"/>
    <x v="31"/>
  </r>
  <r>
    <x v="1"/>
    <x v="1"/>
    <x v="0"/>
    <x v="2"/>
    <x v="3"/>
    <x v="2"/>
    <n v="444"/>
    <n v="177.82"/>
    <n v="78952.08"/>
    <n v="56028.65"/>
    <n v="22923.43"/>
    <x v="31"/>
  </r>
  <r>
    <x v="3"/>
    <x v="8"/>
    <x v="0"/>
    <x v="9"/>
    <x v="0"/>
    <x v="2"/>
    <n v="395"/>
    <n v="103.48"/>
    <n v="40874.6"/>
    <n v="32800.58"/>
    <n v="8074.02"/>
    <x v="31"/>
  </r>
  <r>
    <x v="1"/>
    <x v="1"/>
    <x v="0"/>
    <x v="7"/>
    <x v="1"/>
    <x v="1"/>
    <n v="249"/>
    <n v="109.05"/>
    <n v="27153.45"/>
    <n v="19939.21"/>
    <n v="7214.24"/>
    <x v="31"/>
  </r>
  <r>
    <x v="3"/>
    <x v="7"/>
    <x v="1"/>
    <x v="4"/>
    <x v="4"/>
    <x v="2"/>
    <n v="280"/>
    <n v="187.18"/>
    <n v="52410.400000000001"/>
    <n v="36831.78"/>
    <n v="15578.62"/>
    <x v="31"/>
  </r>
  <r>
    <x v="0"/>
    <x v="13"/>
    <x v="0"/>
    <x v="7"/>
    <x v="3"/>
    <x v="2"/>
    <n v="378"/>
    <n v="73.53"/>
    <n v="27794.34"/>
    <n v="16931.77"/>
    <n v="10862.57"/>
    <x v="31"/>
  </r>
  <r>
    <x v="1"/>
    <x v="2"/>
    <x v="1"/>
    <x v="5"/>
    <x v="3"/>
    <x v="2"/>
    <n v="482"/>
    <n v="223.85"/>
    <n v="107895.7"/>
    <n v="69654.33"/>
    <n v="38241.370000000003"/>
    <x v="31"/>
  </r>
  <r>
    <x v="1"/>
    <x v="6"/>
    <x v="1"/>
    <x v="6"/>
    <x v="4"/>
    <x v="1"/>
    <n v="372"/>
    <n v="164.31"/>
    <n v="61123.32"/>
    <n v="38311.67"/>
    <n v="22811.65"/>
    <x v="31"/>
  </r>
  <r>
    <x v="1"/>
    <x v="2"/>
    <x v="1"/>
    <x v="6"/>
    <x v="2"/>
    <x v="2"/>
    <n v="433"/>
    <n v="11.11"/>
    <n v="4810.63"/>
    <n v="3706.19"/>
    <n v="1104.44"/>
    <x v="31"/>
  </r>
  <r>
    <x v="1"/>
    <x v="6"/>
    <x v="1"/>
    <x v="8"/>
    <x v="0"/>
    <x v="2"/>
    <n v="252"/>
    <n v="158.68"/>
    <n v="39987.360000000001"/>
    <n v="26298.39"/>
    <n v="13688.97"/>
    <x v="31"/>
  </r>
  <r>
    <x v="2"/>
    <x v="3"/>
    <x v="1"/>
    <x v="5"/>
    <x v="2"/>
    <x v="2"/>
    <n v="225"/>
    <n v="185.15"/>
    <n v="41658.75"/>
    <n v="30226.43"/>
    <n v="11432.32"/>
    <x v="31"/>
  </r>
  <r>
    <x v="3"/>
    <x v="8"/>
    <x v="0"/>
    <x v="2"/>
    <x v="0"/>
    <x v="1"/>
    <n v="472"/>
    <n v="200.02"/>
    <n v="94409.44"/>
    <n v="69647.199999999997"/>
    <n v="24762.240000000002"/>
    <x v="31"/>
  </r>
  <r>
    <x v="0"/>
    <x v="10"/>
    <x v="1"/>
    <x v="11"/>
    <x v="3"/>
    <x v="0"/>
    <n v="141"/>
    <n v="121.76"/>
    <n v="17168.16"/>
    <n v="13062.25"/>
    <n v="4105.91"/>
    <x v="31"/>
  </r>
  <r>
    <x v="1"/>
    <x v="2"/>
    <x v="1"/>
    <x v="6"/>
    <x v="4"/>
    <x v="0"/>
    <n v="171"/>
    <n v="136.91999999999999"/>
    <n v="23413.32"/>
    <n v="15423.37"/>
    <n v="7989.95"/>
    <x v="31"/>
  </r>
  <r>
    <x v="0"/>
    <x v="13"/>
    <x v="1"/>
    <x v="4"/>
    <x v="3"/>
    <x v="2"/>
    <n v="189"/>
    <n v="91.11"/>
    <n v="17219.79"/>
    <n v="14388.8"/>
    <n v="2830.99"/>
    <x v="31"/>
  </r>
  <r>
    <x v="3"/>
    <x v="8"/>
    <x v="0"/>
    <x v="0"/>
    <x v="2"/>
    <x v="0"/>
    <n v="143"/>
    <n v="222.33"/>
    <n v="31793.19"/>
    <n v="21068.799999999999"/>
    <n v="10724.39"/>
    <x v="31"/>
  </r>
  <r>
    <x v="2"/>
    <x v="14"/>
    <x v="0"/>
    <x v="7"/>
    <x v="1"/>
    <x v="0"/>
    <n v="241"/>
    <n v="112.44"/>
    <n v="27098.04"/>
    <n v="18267.71"/>
    <n v="8830.33"/>
    <x v="31"/>
  </r>
  <r>
    <x v="0"/>
    <x v="10"/>
    <x v="1"/>
    <x v="4"/>
    <x v="2"/>
    <x v="2"/>
    <n v="140"/>
    <n v="162.94999999999999"/>
    <n v="22813"/>
    <n v="17790.45"/>
    <n v="5022.55"/>
    <x v="31"/>
  </r>
  <r>
    <x v="1"/>
    <x v="2"/>
    <x v="0"/>
    <x v="0"/>
    <x v="3"/>
    <x v="2"/>
    <n v="134"/>
    <n v="71.09"/>
    <n v="9526.06"/>
    <n v="7199.24"/>
    <n v="2326.8200000000002"/>
    <x v="31"/>
  </r>
  <r>
    <x v="2"/>
    <x v="14"/>
    <x v="1"/>
    <x v="4"/>
    <x v="0"/>
    <x v="0"/>
    <n v="230"/>
    <n v="108.96"/>
    <n v="25060.799999999999"/>
    <n v="17418.48"/>
    <n v="7642.32"/>
    <x v="31"/>
  </r>
  <r>
    <x v="3"/>
    <x v="5"/>
    <x v="1"/>
    <x v="10"/>
    <x v="1"/>
    <x v="0"/>
    <n v="121"/>
    <n v="246.87"/>
    <n v="29871.27"/>
    <n v="19279.02"/>
    <n v="10592.25"/>
    <x v="31"/>
  </r>
  <r>
    <x v="0"/>
    <x v="10"/>
    <x v="1"/>
    <x v="4"/>
    <x v="1"/>
    <x v="1"/>
    <n v="366"/>
    <n v="45.67"/>
    <n v="16715.22"/>
    <n v="12363.59"/>
    <n v="4351.63"/>
    <x v="31"/>
  </r>
  <r>
    <x v="2"/>
    <x v="12"/>
    <x v="1"/>
    <x v="5"/>
    <x v="0"/>
    <x v="0"/>
    <n v="326"/>
    <n v="136.87"/>
    <n v="44619.62"/>
    <n v="36618.589999999997"/>
    <n v="8001.03"/>
    <x v="31"/>
  </r>
  <r>
    <x v="1"/>
    <x v="6"/>
    <x v="0"/>
    <x v="0"/>
    <x v="1"/>
    <x v="1"/>
    <n v="237"/>
    <n v="295.61"/>
    <n v="70059.570000000007"/>
    <n v="55246.32"/>
    <n v="14813.25"/>
    <x v="31"/>
  </r>
  <r>
    <x v="3"/>
    <x v="7"/>
    <x v="0"/>
    <x v="2"/>
    <x v="0"/>
    <x v="0"/>
    <n v="113"/>
    <n v="66.25"/>
    <n v="7486.25"/>
    <n v="6138.38"/>
    <n v="1347.87"/>
    <x v="31"/>
  </r>
  <r>
    <x v="0"/>
    <x v="13"/>
    <x v="0"/>
    <x v="7"/>
    <x v="2"/>
    <x v="2"/>
    <n v="99"/>
    <n v="164.45"/>
    <n v="16280.55"/>
    <n v="13684.3"/>
    <n v="2596.25"/>
    <x v="31"/>
  </r>
  <r>
    <x v="1"/>
    <x v="2"/>
    <x v="0"/>
    <x v="1"/>
    <x v="3"/>
    <x v="1"/>
    <n v="99"/>
    <n v="161.54"/>
    <n v="15992.46"/>
    <n v="10471.530000000001"/>
    <n v="5520.93"/>
    <x v="31"/>
  </r>
  <r>
    <x v="2"/>
    <x v="3"/>
    <x v="0"/>
    <x v="0"/>
    <x v="1"/>
    <x v="1"/>
    <n v="478"/>
    <n v="131.83000000000001"/>
    <n v="63014.74"/>
    <n v="52071.6"/>
    <n v="10943.14"/>
    <x v="31"/>
  </r>
  <r>
    <x v="3"/>
    <x v="8"/>
    <x v="1"/>
    <x v="5"/>
    <x v="3"/>
    <x v="0"/>
    <n v="459"/>
    <n v="93.24"/>
    <n v="42797.16"/>
    <n v="32278.98"/>
    <n v="10518.18"/>
    <x v="32"/>
  </r>
  <r>
    <x v="2"/>
    <x v="4"/>
    <x v="1"/>
    <x v="10"/>
    <x v="1"/>
    <x v="1"/>
    <n v="480"/>
    <n v="164.07"/>
    <n v="78753.600000000006"/>
    <n v="61437.97"/>
    <n v="17315.63"/>
    <x v="32"/>
  </r>
  <r>
    <x v="2"/>
    <x v="14"/>
    <x v="1"/>
    <x v="11"/>
    <x v="2"/>
    <x v="2"/>
    <n v="233"/>
    <n v="108.71"/>
    <n v="25329.43"/>
    <n v="18626.04"/>
    <n v="6703.39"/>
    <x v="32"/>
  </r>
  <r>
    <x v="3"/>
    <x v="5"/>
    <x v="1"/>
    <x v="4"/>
    <x v="4"/>
    <x v="2"/>
    <n v="255"/>
    <n v="239.2"/>
    <n v="60996"/>
    <n v="45474.78"/>
    <n v="15521.22"/>
    <x v="32"/>
  </r>
  <r>
    <x v="3"/>
    <x v="5"/>
    <x v="1"/>
    <x v="3"/>
    <x v="3"/>
    <x v="1"/>
    <n v="323"/>
    <n v="237.31"/>
    <n v="76651.13"/>
    <n v="55206.13"/>
    <n v="21445"/>
    <x v="32"/>
  </r>
  <r>
    <x v="1"/>
    <x v="6"/>
    <x v="0"/>
    <x v="9"/>
    <x v="4"/>
    <x v="2"/>
    <n v="74"/>
    <n v="103.82"/>
    <n v="7682.68"/>
    <n v="6212.03"/>
    <n v="1470.65"/>
    <x v="32"/>
  </r>
  <r>
    <x v="0"/>
    <x v="10"/>
    <x v="0"/>
    <x v="1"/>
    <x v="0"/>
    <x v="0"/>
    <n v="377"/>
    <n v="290.68"/>
    <n v="109586.36"/>
    <n v="73846"/>
    <n v="35740.36"/>
    <x v="32"/>
  </r>
  <r>
    <x v="3"/>
    <x v="11"/>
    <x v="1"/>
    <x v="11"/>
    <x v="2"/>
    <x v="2"/>
    <n v="387"/>
    <n v="218.86"/>
    <n v="84698.82"/>
    <n v="53076.07"/>
    <n v="31622.75"/>
    <x v="32"/>
  </r>
  <r>
    <x v="3"/>
    <x v="7"/>
    <x v="1"/>
    <x v="8"/>
    <x v="3"/>
    <x v="1"/>
    <n v="477"/>
    <n v="120.01"/>
    <n v="57244.77"/>
    <n v="43012.84"/>
    <n v="14231.93"/>
    <x v="32"/>
  </r>
  <r>
    <x v="3"/>
    <x v="5"/>
    <x v="1"/>
    <x v="5"/>
    <x v="2"/>
    <x v="2"/>
    <n v="47"/>
    <n v="181.59"/>
    <n v="8534.73"/>
    <n v="6620.04"/>
    <n v="1914.69"/>
    <x v="32"/>
  </r>
  <r>
    <x v="3"/>
    <x v="11"/>
    <x v="0"/>
    <x v="0"/>
    <x v="1"/>
    <x v="1"/>
    <n v="128"/>
    <n v="75.16"/>
    <n v="9620.48"/>
    <n v="6205.23"/>
    <n v="3415.25"/>
    <x v="32"/>
  </r>
  <r>
    <x v="0"/>
    <x v="13"/>
    <x v="1"/>
    <x v="5"/>
    <x v="1"/>
    <x v="2"/>
    <n v="66"/>
    <n v="227.9"/>
    <n v="15041.4"/>
    <n v="11495.22"/>
    <n v="3546.18"/>
    <x v="32"/>
  </r>
  <r>
    <x v="2"/>
    <x v="4"/>
    <x v="0"/>
    <x v="1"/>
    <x v="4"/>
    <x v="2"/>
    <n v="200"/>
    <n v="140.44"/>
    <n v="28088"/>
    <n v="18219.439999999999"/>
    <n v="9868.56"/>
    <x v="32"/>
  </r>
  <r>
    <x v="1"/>
    <x v="15"/>
    <x v="1"/>
    <x v="5"/>
    <x v="4"/>
    <x v="2"/>
    <n v="334"/>
    <n v="63.5"/>
    <n v="21209"/>
    <n v="14646.06"/>
    <n v="6562.94"/>
    <x v="32"/>
  </r>
  <r>
    <x v="2"/>
    <x v="3"/>
    <x v="1"/>
    <x v="4"/>
    <x v="3"/>
    <x v="0"/>
    <n v="58"/>
    <n v="78.69"/>
    <n v="4564.0200000000004"/>
    <n v="3629"/>
    <n v="935.02"/>
    <x v="32"/>
  </r>
  <r>
    <x v="2"/>
    <x v="14"/>
    <x v="0"/>
    <x v="0"/>
    <x v="1"/>
    <x v="2"/>
    <n v="145"/>
    <n v="53.48"/>
    <n v="7754.6"/>
    <n v="5097.2"/>
    <n v="2657.4"/>
    <x v="32"/>
  </r>
  <r>
    <x v="1"/>
    <x v="6"/>
    <x v="0"/>
    <x v="1"/>
    <x v="0"/>
    <x v="1"/>
    <n v="208"/>
    <n v="191.6"/>
    <n v="39852.800000000003"/>
    <n v="25219.3"/>
    <n v="14633.5"/>
    <x v="32"/>
  </r>
  <r>
    <x v="2"/>
    <x v="3"/>
    <x v="1"/>
    <x v="5"/>
    <x v="2"/>
    <x v="1"/>
    <n v="440"/>
    <n v="198.98"/>
    <n v="87551.2"/>
    <n v="59404.82"/>
    <n v="28146.38"/>
    <x v="32"/>
  </r>
  <r>
    <x v="1"/>
    <x v="1"/>
    <x v="0"/>
    <x v="9"/>
    <x v="2"/>
    <x v="2"/>
    <n v="116"/>
    <n v="100.82"/>
    <n v="11695.12"/>
    <n v="9351.98"/>
    <n v="2343.14"/>
    <x v="32"/>
  </r>
  <r>
    <x v="1"/>
    <x v="15"/>
    <x v="1"/>
    <x v="11"/>
    <x v="1"/>
    <x v="0"/>
    <n v="174"/>
    <n v="148.58000000000001"/>
    <n v="25852.92"/>
    <n v="18951.849999999999"/>
    <n v="6901.07"/>
    <x v="32"/>
  </r>
  <r>
    <x v="1"/>
    <x v="15"/>
    <x v="0"/>
    <x v="7"/>
    <x v="4"/>
    <x v="0"/>
    <n v="445"/>
    <n v="259.27"/>
    <n v="115375.15"/>
    <n v="80543.210000000006"/>
    <n v="34831.94"/>
    <x v="32"/>
  </r>
  <r>
    <x v="2"/>
    <x v="4"/>
    <x v="0"/>
    <x v="7"/>
    <x v="4"/>
    <x v="2"/>
    <n v="269"/>
    <n v="153.88999999999999"/>
    <n v="41396.410000000003"/>
    <n v="26682.6"/>
    <n v="14713.81"/>
    <x v="32"/>
  </r>
  <r>
    <x v="0"/>
    <x v="9"/>
    <x v="0"/>
    <x v="0"/>
    <x v="1"/>
    <x v="2"/>
    <n v="412"/>
    <n v="85.2"/>
    <n v="35102.400000000001"/>
    <n v="24831.94"/>
    <n v="10270.459999999999"/>
    <x v="32"/>
  </r>
  <r>
    <x v="2"/>
    <x v="16"/>
    <x v="1"/>
    <x v="8"/>
    <x v="2"/>
    <x v="1"/>
    <n v="266"/>
    <n v="234.9"/>
    <n v="62483.4"/>
    <n v="44570.8"/>
    <n v="17912.599999999999"/>
    <x v="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039359-ABCA-4621-A40B-D579837E2B4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items count="5">
        <item x="1"/>
        <item x="0"/>
        <item x="2"/>
        <item x="3"/>
        <item t="default"/>
      </items>
    </pivotField>
    <pivotField showAll="0">
      <items count="18">
        <item x="16"/>
        <item x="1"/>
        <item x="6"/>
        <item x="0"/>
        <item x="5"/>
        <item x="11"/>
        <item x="9"/>
        <item x="3"/>
        <item x="14"/>
        <item x="7"/>
        <item x="15"/>
        <item x="13"/>
        <item x="8"/>
        <item x="4"/>
        <item x="12"/>
        <item x="10"/>
        <item x="2"/>
        <item t="default"/>
      </items>
    </pivotField>
    <pivotField showAll="0">
      <items count="3">
        <item x="1"/>
        <item x="0"/>
        <item t="default"/>
      </items>
    </pivotField>
    <pivotField showAll="0">
      <items count="13">
        <item x="8"/>
        <item x="4"/>
        <item x="3"/>
        <item x="1"/>
        <item x="10"/>
        <item x="9"/>
        <item x="6"/>
        <item x="7"/>
        <item x="0"/>
        <item x="11"/>
        <item x="2"/>
        <item x="5"/>
        <item t="default"/>
      </items>
    </pivotField>
    <pivotField showAll="0"/>
    <pivotField showAll="0">
      <items count="4">
        <item x="0"/>
        <item x="1"/>
        <item x="2"/>
        <item t="default"/>
      </items>
    </pivotField>
    <pivotField showAll="0"/>
    <pivotField showAll="0"/>
    <pivotField dataField="1" showAll="0"/>
    <pivotField showAll="0"/>
    <pivotField showAll="0"/>
    <pivotField numFmtId="1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Revenue" fld="8" baseField="0" baseItem="0" numFmtId="1"/>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FB7D76-CF10-47CE-ADE5-991D3D11325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5">
    <pivotField showAll="0">
      <items count="5">
        <item x="1"/>
        <item x="0"/>
        <item x="2"/>
        <item x="3"/>
        <item t="default"/>
      </items>
    </pivotField>
    <pivotField showAll="0">
      <items count="18">
        <item x="16"/>
        <item x="1"/>
        <item x="6"/>
        <item x="0"/>
        <item x="5"/>
        <item x="11"/>
        <item x="9"/>
        <item x="3"/>
        <item x="14"/>
        <item x="7"/>
        <item x="15"/>
        <item x="13"/>
        <item x="8"/>
        <item x="4"/>
        <item x="12"/>
        <item x="10"/>
        <item x="2"/>
        <item t="default"/>
      </items>
    </pivotField>
    <pivotField showAll="0">
      <items count="3">
        <item x="1"/>
        <item x="0"/>
        <item t="default"/>
      </items>
    </pivotField>
    <pivotField showAll="0">
      <items count="13">
        <item x="8"/>
        <item x="4"/>
        <item x="3"/>
        <item x="1"/>
        <item x="10"/>
        <item x="9"/>
        <item x="6"/>
        <item x="7"/>
        <item x="0"/>
        <item x="11"/>
        <item x="2"/>
        <item x="5"/>
        <item t="default"/>
      </items>
    </pivotField>
    <pivotField showAll="0"/>
    <pivotField showAll="0">
      <items count="4">
        <item x="0"/>
        <item x="1"/>
        <item x="2"/>
        <item t="default"/>
      </items>
    </pivotField>
    <pivotField showAll="0"/>
    <pivotField showAll="0"/>
    <pivotField showAll="0"/>
    <pivotField showAll="0"/>
    <pivotField dataField="1" showAll="0"/>
    <pivotField numFmtId="1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Total Profit" fld="10" baseField="0" baseItem="0" numFmtId="1"/>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7A1C23-8366-4507-8BAA-D239972282F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ocation ref="A7:B20" firstHeaderRow="1" firstDataRow="1" firstDataCol="1"/>
  <pivotFields count="15">
    <pivotField showAll="0">
      <items count="5">
        <item x="1"/>
        <item x="0"/>
        <item x="2"/>
        <item x="3"/>
        <item t="default"/>
      </items>
    </pivotField>
    <pivotField showAll="0">
      <items count="18">
        <item x="16"/>
        <item x="1"/>
        <item x="6"/>
        <item x="0"/>
        <item x="5"/>
        <item x="11"/>
        <item x="9"/>
        <item x="3"/>
        <item x="14"/>
        <item x="7"/>
        <item x="15"/>
        <item x="13"/>
        <item x="8"/>
        <item x="4"/>
        <item x="12"/>
        <item x="10"/>
        <item x="2"/>
        <item t="default"/>
      </items>
    </pivotField>
    <pivotField showAll="0">
      <items count="3">
        <item x="1"/>
        <item x="0"/>
        <item t="default"/>
      </items>
    </pivotField>
    <pivotField axis="axisRow" showAll="0">
      <items count="13">
        <item x="8"/>
        <item x="4"/>
        <item x="3"/>
        <item x="1"/>
        <item x="10"/>
        <item x="9"/>
        <item x="6"/>
        <item x="7"/>
        <item x="0"/>
        <item x="11"/>
        <item x="2"/>
        <item x="5"/>
        <item t="default"/>
      </items>
    </pivotField>
    <pivotField showAll="0"/>
    <pivotField showAll="0">
      <items count="4">
        <item x="0"/>
        <item x="1"/>
        <item x="2"/>
        <item t="default"/>
      </items>
    </pivotField>
    <pivotField showAll="0"/>
    <pivotField showAll="0"/>
    <pivotField dataField="1" showAll="0"/>
    <pivotField showAll="0"/>
    <pivotField showAll="0"/>
    <pivotField numFmtId="1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3">
    <i>
      <x/>
    </i>
    <i>
      <x v="1"/>
    </i>
    <i>
      <x v="2"/>
    </i>
    <i>
      <x v="3"/>
    </i>
    <i>
      <x v="4"/>
    </i>
    <i>
      <x v="5"/>
    </i>
    <i>
      <x v="6"/>
    </i>
    <i>
      <x v="7"/>
    </i>
    <i>
      <x v="8"/>
    </i>
    <i>
      <x v="9"/>
    </i>
    <i>
      <x v="10"/>
    </i>
    <i>
      <x v="11"/>
    </i>
    <i t="grand">
      <x/>
    </i>
  </rowItems>
  <colItems count="1">
    <i/>
  </colItems>
  <dataFields count="1">
    <dataField name="Sum of Revenue" fld="8" baseField="0" baseItem="0" numFmtId="1"/>
  </dataFields>
  <formats count="1">
    <format dxfId="36">
      <pivotArea outline="0" collapsedLevelsAreSubtotals="1" fieldPosition="0"/>
    </format>
  </formats>
  <chartFormats count="2">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723420-9A0D-4729-A137-629881685DA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5">
    <pivotField showAll="0">
      <items count="5">
        <item x="1"/>
        <item x="0"/>
        <item x="2"/>
        <item x="3"/>
        <item t="default"/>
      </items>
    </pivotField>
    <pivotField showAll="0">
      <items count="18">
        <item x="16"/>
        <item x="1"/>
        <item x="6"/>
        <item x="0"/>
        <item x="5"/>
        <item x="11"/>
        <item x="9"/>
        <item x="3"/>
        <item x="14"/>
        <item x="7"/>
        <item x="15"/>
        <item x="13"/>
        <item x="8"/>
        <item x="4"/>
        <item x="12"/>
        <item x="10"/>
        <item x="2"/>
        <item t="default"/>
      </items>
    </pivotField>
    <pivotField showAll="0">
      <items count="3">
        <item x="1"/>
        <item x="0"/>
        <item t="default"/>
      </items>
    </pivotField>
    <pivotField showAll="0">
      <items count="13">
        <item x="8"/>
        <item x="4"/>
        <item x="3"/>
        <item x="1"/>
        <item x="10"/>
        <item x="9"/>
        <item x="6"/>
        <item x="7"/>
        <item x="0"/>
        <item x="11"/>
        <item x="2"/>
        <item x="5"/>
        <item t="default"/>
      </items>
    </pivotField>
    <pivotField showAll="0"/>
    <pivotField showAll="0">
      <items count="4">
        <item x="0"/>
        <item x="1"/>
        <item x="2"/>
        <item t="default"/>
      </items>
    </pivotField>
    <pivotField dataField="1" showAll="0"/>
    <pivotField showAll="0"/>
    <pivotField showAll="0"/>
    <pivotField showAll="0"/>
    <pivotField showAll="0"/>
    <pivotField numFmtId="1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A97999-7B8C-47F0-A20A-9E96AF8C1D2F}"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22:B40" firstHeaderRow="1" firstDataRow="1" firstDataCol="1"/>
  <pivotFields count="15">
    <pivotField showAll="0">
      <items count="5">
        <item x="1"/>
        <item x="0"/>
        <item x="2"/>
        <item x="3"/>
        <item t="default"/>
      </items>
    </pivotField>
    <pivotField axis="axisRow" showAll="0">
      <items count="18">
        <item x="16"/>
        <item x="1"/>
        <item x="6"/>
        <item x="0"/>
        <item x="5"/>
        <item x="11"/>
        <item x="9"/>
        <item x="3"/>
        <item x="14"/>
        <item x="7"/>
        <item x="15"/>
        <item x="13"/>
        <item x="8"/>
        <item x="4"/>
        <item x="12"/>
        <item x="10"/>
        <item x="2"/>
        <item t="default"/>
      </items>
    </pivotField>
    <pivotField showAll="0">
      <items count="3">
        <item x="1"/>
        <item x="0"/>
        <item t="default"/>
      </items>
    </pivotField>
    <pivotField showAll="0">
      <items count="13">
        <item x="8"/>
        <item x="4"/>
        <item x="3"/>
        <item x="1"/>
        <item x="10"/>
        <item x="9"/>
        <item x="6"/>
        <item x="7"/>
        <item x="0"/>
        <item x="11"/>
        <item x="2"/>
        <item x="5"/>
        <item t="default"/>
      </items>
    </pivotField>
    <pivotField showAll="0"/>
    <pivotField showAll="0">
      <items count="4">
        <item x="0"/>
        <item x="1"/>
        <item x="2"/>
        <item t="default"/>
      </items>
    </pivotField>
    <pivotField showAll="0"/>
    <pivotField showAll="0"/>
    <pivotField dataField="1" showAll="0"/>
    <pivotField showAll="0"/>
    <pivotField showAll="0"/>
    <pivotField numFmtId="1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8" baseField="0" baseItem="0"/>
  </dataFields>
  <formats count="2">
    <format dxfId="38">
      <pivotArea collapsedLevelsAreSubtotals="1" fieldPosition="0">
        <references count="1">
          <reference field="1" count="0"/>
        </references>
      </pivotArea>
    </format>
    <format dxfId="3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533AE0-0736-45B8-B8C6-973D8589F84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Date">
  <location ref="D33:E39" firstHeaderRow="1" firstDataRow="1" firstDataCol="1"/>
  <pivotFields count="15">
    <pivotField showAll="0">
      <items count="5">
        <item x="1"/>
        <item x="0"/>
        <item x="2"/>
        <item x="3"/>
        <item t="default"/>
      </items>
    </pivotField>
    <pivotField showAll="0">
      <items count="18">
        <item x="16"/>
        <item x="1"/>
        <item x="6"/>
        <item x="0"/>
        <item x="5"/>
        <item x="11"/>
        <item x="9"/>
        <item x="3"/>
        <item x="14"/>
        <item x="7"/>
        <item x="15"/>
        <item x="13"/>
        <item x="8"/>
        <item x="4"/>
        <item x="12"/>
        <item x="10"/>
        <item x="2"/>
        <item t="default"/>
      </items>
    </pivotField>
    <pivotField showAll="0">
      <items count="3">
        <item x="1"/>
        <item x="0"/>
        <item t="default"/>
      </items>
    </pivotField>
    <pivotField showAll="0">
      <items count="13">
        <item x="8"/>
        <item x="4"/>
        <item x="3"/>
        <item x="1"/>
        <item x="10"/>
        <item x="9"/>
        <item x="6"/>
        <item x="7"/>
        <item x="0"/>
        <item x="11"/>
        <item x="2"/>
        <item x="5"/>
        <item t="default"/>
      </items>
    </pivotField>
    <pivotField axis="axisRow" showAll="0">
      <items count="6">
        <item x="3"/>
        <item x="4"/>
        <item x="2"/>
        <item x="1"/>
        <item x="0"/>
        <item t="default"/>
      </items>
    </pivotField>
    <pivotField showAll="0">
      <items count="4">
        <item x="0"/>
        <item x="1"/>
        <item x="2"/>
        <item t="default"/>
      </items>
    </pivotField>
    <pivotField showAll="0"/>
    <pivotField showAll="0"/>
    <pivotField dataField="1" showAll="0"/>
    <pivotField showAll="0"/>
    <pivotField showAll="0"/>
    <pivotField numFmtId="1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sd="0"/>
      </items>
    </pivotField>
    <pivotField showAll="0">
      <items count="6">
        <item sd="0" x="0"/>
        <item sd="0" x="1"/>
        <item sd="0" x="2"/>
        <item sd="0" x="3"/>
        <item sd="0" x="4"/>
        <item t="default"/>
      </items>
    </pivotField>
  </pivotFields>
  <rowFields count="1">
    <field x="4"/>
  </rowFields>
  <rowItems count="6">
    <i>
      <x/>
    </i>
    <i>
      <x v="1"/>
    </i>
    <i>
      <x v="2"/>
    </i>
    <i>
      <x v="3"/>
    </i>
    <i>
      <x v="4"/>
    </i>
    <i t="grand">
      <x/>
    </i>
  </rowItems>
  <colItems count="1">
    <i/>
  </colItems>
  <dataFields count="1">
    <dataField name="Sum of Revenue" fld="8" baseField="0" baseItem="0"/>
  </dataFields>
  <formats count="1">
    <format dxfId="39">
      <pivotArea collapsedLevelsAreSubtotals="1" fieldPosition="0">
        <references count="1">
          <reference field="4" count="0"/>
        </references>
      </pivotArea>
    </format>
  </formats>
  <chartFormats count="9">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9BCA8B-074C-48E1-9265-C464D7612A4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ate">
  <location ref="G7:H11" firstHeaderRow="1" firstDataRow="1" firstDataCol="1"/>
  <pivotFields count="15">
    <pivotField showAll="0">
      <items count="5">
        <item x="1"/>
        <item x="0"/>
        <item x="2"/>
        <item x="3"/>
        <item t="default"/>
      </items>
    </pivotField>
    <pivotField showAll="0">
      <items count="18">
        <item x="16"/>
        <item x="1"/>
        <item x="6"/>
        <item x="0"/>
        <item x="5"/>
        <item x="11"/>
        <item x="9"/>
        <item x="3"/>
        <item x="14"/>
        <item x="7"/>
        <item x="15"/>
        <item x="13"/>
        <item x="8"/>
        <item x="4"/>
        <item x="12"/>
        <item x="10"/>
        <item x="2"/>
        <item t="default"/>
      </items>
    </pivotField>
    <pivotField showAll="0">
      <items count="3">
        <item x="1"/>
        <item x="0"/>
        <item t="default"/>
      </items>
    </pivotField>
    <pivotField showAll="0">
      <items count="13">
        <item x="8"/>
        <item x="4"/>
        <item x="3"/>
        <item x="1"/>
        <item x="10"/>
        <item x="9"/>
        <item x="6"/>
        <item x="7"/>
        <item x="0"/>
        <item x="11"/>
        <item x="2"/>
        <item x="5"/>
        <item t="default"/>
      </items>
    </pivotField>
    <pivotField showAll="0">
      <items count="6">
        <item x="3"/>
        <item x="4"/>
        <item x="2"/>
        <item x="1"/>
        <item x="0"/>
        <item t="default"/>
      </items>
    </pivotField>
    <pivotField showAll="0">
      <items count="4">
        <item x="0"/>
        <item x="1"/>
        <item x="2"/>
        <item t="default"/>
      </items>
    </pivotField>
    <pivotField showAll="0"/>
    <pivotField showAll="0"/>
    <pivotField dataField="1" showAll="0"/>
    <pivotField showAll="0"/>
    <pivotField showAll="0"/>
    <pivotField numFmtId="1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sd="0"/>
      </items>
    </pivotField>
    <pivotField axis="axisRow" showAll="0">
      <items count="6">
        <item sd="0" x="0"/>
        <item sd="0" x="1"/>
        <item sd="0" x="2"/>
        <item sd="0" x="3"/>
        <item sd="0" x="4"/>
        <item t="default"/>
      </items>
    </pivotField>
  </pivotFields>
  <rowFields count="1">
    <field x="14"/>
  </rowFields>
  <rowItems count="4">
    <i>
      <x v="1"/>
    </i>
    <i>
      <x v="2"/>
    </i>
    <i>
      <x v="3"/>
    </i>
    <i t="grand">
      <x/>
    </i>
  </rowItems>
  <colItems count="1">
    <i/>
  </colItems>
  <dataFields count="1">
    <dataField name="Sum of Revenue" fld="8" baseField="0" baseItem="0" numFmtId="1"/>
  </dataFields>
  <formats count="1">
    <format dxfId="29">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A1C50B-FED5-4653-9B85-2445D99D72E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Month">
  <location ref="G15:I28" firstHeaderRow="0" firstDataRow="1" firstDataCol="1"/>
  <pivotFields count="15">
    <pivotField showAll="0">
      <items count="5">
        <item x="1"/>
        <item x="0"/>
        <item x="2"/>
        <item x="3"/>
        <item t="default"/>
      </items>
    </pivotField>
    <pivotField showAll="0">
      <items count="18">
        <item x="16"/>
        <item x="1"/>
        <item x="6"/>
        <item x="0"/>
        <item x="5"/>
        <item x="11"/>
        <item x="9"/>
        <item x="3"/>
        <item x="14"/>
        <item x="7"/>
        <item x="15"/>
        <item x="13"/>
        <item x="8"/>
        <item x="4"/>
        <item x="12"/>
        <item x="10"/>
        <item x="2"/>
        <item t="default"/>
      </items>
    </pivotField>
    <pivotField showAll="0">
      <items count="3">
        <item x="1"/>
        <item x="0"/>
        <item t="default"/>
      </items>
    </pivotField>
    <pivotField showAll="0">
      <items count="13">
        <item x="8"/>
        <item x="4"/>
        <item x="3"/>
        <item x="1"/>
        <item x="10"/>
        <item x="9"/>
        <item x="6"/>
        <item x="7"/>
        <item x="0"/>
        <item x="11"/>
        <item x="2"/>
        <item x="5"/>
        <item t="default"/>
      </items>
    </pivotField>
    <pivotField showAll="0"/>
    <pivotField showAll="0">
      <items count="4">
        <item x="0"/>
        <item x="1"/>
        <item x="2"/>
        <item t="default"/>
      </items>
    </pivotField>
    <pivotField showAll="0"/>
    <pivotField showAll="0"/>
    <pivotField dataField="1" showAll="0"/>
    <pivotField showAll="0"/>
    <pivotField dataField="1" showAll="0"/>
    <pivotField numFmtId="1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10" baseField="0" baseItem="0"/>
    <dataField name="Sum of Revenue" fld="8" baseField="0" baseItem="0"/>
  </dataFields>
  <formats count="2">
    <format dxfId="41">
      <pivotArea collapsedLevelsAreSubtotals="1" fieldPosition="0">
        <references count="1">
          <reference field="12" count="12">
            <x v="1"/>
            <x v="2"/>
            <x v="3"/>
            <x v="4"/>
            <x v="5"/>
            <x v="6"/>
            <x v="7"/>
            <x v="8"/>
            <x v="9"/>
            <x v="10"/>
            <x v="11"/>
            <x v="12"/>
          </reference>
        </references>
      </pivotArea>
    </format>
    <format dxfId="40">
      <pivotArea grandRow="1" outline="0" collapsedLevelsAreSubtotals="1" fieldPosition="0"/>
    </format>
  </formats>
  <chartFormats count="2">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2B4CA3-309F-4F7D-B3E4-0E5F997710F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D7:E12" firstHeaderRow="1" firstDataRow="1" firstDataCol="1"/>
  <pivotFields count="15">
    <pivotField axis="axisRow" showAll="0">
      <items count="5">
        <item x="1"/>
        <item x="0"/>
        <item x="2"/>
        <item x="3"/>
        <item t="default"/>
      </items>
    </pivotField>
    <pivotField showAll="0">
      <items count="18">
        <item x="16"/>
        <item x="1"/>
        <item x="6"/>
        <item x="0"/>
        <item x="5"/>
        <item x="11"/>
        <item x="9"/>
        <item x="3"/>
        <item x="14"/>
        <item x="7"/>
        <item x="15"/>
        <item x="13"/>
        <item x="8"/>
        <item x="4"/>
        <item x="12"/>
        <item x="10"/>
        <item x="2"/>
        <item t="default"/>
      </items>
    </pivotField>
    <pivotField showAll="0">
      <items count="3">
        <item x="1"/>
        <item x="0"/>
        <item t="default"/>
      </items>
    </pivotField>
    <pivotField showAll="0">
      <items count="13">
        <item x="8"/>
        <item x="4"/>
        <item x="3"/>
        <item x="1"/>
        <item x="10"/>
        <item x="9"/>
        <item x="6"/>
        <item x="7"/>
        <item x="0"/>
        <item x="11"/>
        <item x="2"/>
        <item x="5"/>
        <item t="default"/>
      </items>
    </pivotField>
    <pivotField showAll="0"/>
    <pivotField showAll="0">
      <items count="4">
        <item x="0"/>
        <item x="1"/>
        <item x="2"/>
        <item t="default"/>
      </items>
    </pivotField>
    <pivotField showAll="0"/>
    <pivotField showAll="0"/>
    <pivotField dataField="1" showAll="0"/>
    <pivotField showAll="0"/>
    <pivotField showAll="0"/>
    <pivotField numFmtId="1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5">
    <i>
      <x/>
    </i>
    <i>
      <x v="1"/>
    </i>
    <i>
      <x v="2"/>
    </i>
    <i>
      <x v="3"/>
    </i>
    <i t="grand">
      <x/>
    </i>
  </rowItems>
  <colItems count="1">
    <i/>
  </colItems>
  <dataFields count="1">
    <dataField name="Sum of Revenue"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CBE58ED-A93B-45EF-8CE2-9A1A6FA2B46F}"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D15:E18" firstHeaderRow="1" firstDataRow="1" firstDataCol="1"/>
  <pivotFields count="15">
    <pivotField showAll="0">
      <items count="5">
        <item x="1"/>
        <item x="0"/>
        <item x="2"/>
        <item x="3"/>
        <item t="default"/>
      </items>
    </pivotField>
    <pivotField showAll="0">
      <items count="18">
        <item x="16"/>
        <item x="1"/>
        <item x="6"/>
        <item x="0"/>
        <item x="5"/>
        <item x="11"/>
        <item x="9"/>
        <item x="3"/>
        <item x="14"/>
        <item x="7"/>
        <item x="15"/>
        <item x="13"/>
        <item x="8"/>
        <item x="4"/>
        <item x="12"/>
        <item x="10"/>
        <item x="2"/>
        <item t="default"/>
      </items>
    </pivotField>
    <pivotField axis="axisRow" showAll="0">
      <items count="3">
        <item x="1"/>
        <item x="0"/>
        <item t="default"/>
      </items>
    </pivotField>
    <pivotField showAll="0">
      <items count="13">
        <item x="8"/>
        <item x="4"/>
        <item x="3"/>
        <item x="1"/>
        <item x="10"/>
        <item x="9"/>
        <item x="6"/>
        <item x="7"/>
        <item x="0"/>
        <item x="11"/>
        <item x="2"/>
        <item x="5"/>
        <item t="default"/>
      </items>
    </pivotField>
    <pivotField showAll="0"/>
    <pivotField showAll="0">
      <items count="4">
        <item x="0"/>
        <item x="1"/>
        <item x="2"/>
        <item t="default"/>
      </items>
    </pivotField>
    <pivotField showAll="0"/>
    <pivotField showAll="0"/>
    <pivotField showAll="0"/>
    <pivotField showAll="0"/>
    <pivotField dataField="1" showAll="0"/>
    <pivotField numFmtId="1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3">
    <i>
      <x/>
    </i>
    <i>
      <x v="1"/>
    </i>
    <i t="grand">
      <x/>
    </i>
  </rowItems>
  <colItems count="1">
    <i/>
  </colItems>
  <dataFields count="1">
    <dataField name="Sum of Profit" fld="10" baseField="0" baseItem="0"/>
  </dataFields>
  <chartFormats count="4">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21FB06-C494-4A5F-94B1-6394BEB39CF9}"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les channel">
  <location ref="D21:E25" firstHeaderRow="1" firstDataRow="1" firstDataCol="1"/>
  <pivotFields count="15">
    <pivotField showAll="0">
      <items count="5">
        <item x="1"/>
        <item x="0"/>
        <item x="2"/>
        <item x="3"/>
        <item t="default"/>
      </items>
    </pivotField>
    <pivotField showAll="0">
      <items count="18">
        <item x="16"/>
        <item x="1"/>
        <item x="6"/>
        <item x="0"/>
        <item x="5"/>
        <item x="11"/>
        <item x="9"/>
        <item x="3"/>
        <item x="14"/>
        <item x="7"/>
        <item x="15"/>
        <item x="13"/>
        <item x="8"/>
        <item x="4"/>
        <item x="12"/>
        <item x="10"/>
        <item x="2"/>
        <item t="default"/>
      </items>
    </pivotField>
    <pivotField showAll="0">
      <items count="3">
        <item x="1"/>
        <item x="0"/>
        <item t="default"/>
      </items>
    </pivotField>
    <pivotField showAll="0">
      <items count="13">
        <item x="8"/>
        <item x="4"/>
        <item x="3"/>
        <item x="1"/>
        <item x="10"/>
        <item x="9"/>
        <item x="6"/>
        <item x="7"/>
        <item x="0"/>
        <item x="11"/>
        <item x="2"/>
        <item x="5"/>
        <item t="default"/>
      </items>
    </pivotField>
    <pivotField showAll="0"/>
    <pivotField axis="axisRow" showAll="0">
      <items count="4">
        <item x="0"/>
        <item x="1"/>
        <item x="2"/>
        <item t="default"/>
      </items>
    </pivotField>
    <pivotField showAll="0"/>
    <pivotField showAll="0"/>
    <pivotField dataField="1" showAll="0"/>
    <pivotField showAll="0"/>
    <pivotField showAll="0"/>
    <pivotField numFmtId="14"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4">
    <i>
      <x/>
    </i>
    <i>
      <x v="1"/>
    </i>
    <i>
      <x v="2"/>
    </i>
    <i t="grand">
      <x/>
    </i>
  </rowItems>
  <colItems count="1">
    <i/>
  </colItems>
  <dataFields count="1">
    <dataField name="Sum of Revenue" fld="8"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FDBB53-3B6E-4C63-A28A-88AE76FC3B64}" sourceName="Region">
  <pivotTables>
    <pivotTable tabId="4" name="PivotTable15"/>
    <pivotTable tabId="4" name="PivotTable2"/>
    <pivotTable tabId="4" name="PivotTable11"/>
    <pivotTable tabId="4" name="PivotTable14"/>
    <pivotTable tabId="4" name="PivotTable16"/>
    <pivotTable tabId="4" name="PivotTable17"/>
    <pivotTable tabId="4" name="PivotTable18"/>
    <pivotTable tabId="4" name="PivotTable20"/>
    <pivotTable tabId="4" name="PivotTable23"/>
    <pivotTable tabId="4" name="PivotTable8"/>
    <pivotTable tabId="4" name="PivotTable9"/>
  </pivotTables>
  <data>
    <tabular pivotCacheId="484505498">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49A18F4-610A-4535-87F5-C73FE1F8F5BD}" sourceName="State">
  <pivotTables>
    <pivotTable tabId="4" name="PivotTable15"/>
    <pivotTable tabId="4" name="PivotTable2"/>
    <pivotTable tabId="4" name="PivotTable11"/>
    <pivotTable tabId="4" name="PivotTable14"/>
    <pivotTable tabId="4" name="PivotTable16"/>
    <pivotTable tabId="4" name="PivotTable17"/>
    <pivotTable tabId="4" name="PivotTable18"/>
    <pivotTable tabId="4" name="PivotTable20"/>
    <pivotTable tabId="4" name="PivotTable23"/>
    <pivotTable tabId="4" name="PivotTable8"/>
    <pivotTable tabId="4" name="PivotTable9"/>
  </pivotTables>
  <data>
    <tabular pivotCacheId="484505498">
      <items count="17">
        <i x="16" s="1"/>
        <i x="1" s="1"/>
        <i x="6" s="1"/>
        <i x="0" s="1"/>
        <i x="5" s="1"/>
        <i x="11" s="1"/>
        <i x="9" s="1"/>
        <i x="3" s="1"/>
        <i x="14" s="1"/>
        <i x="7" s="1"/>
        <i x="15" s="1"/>
        <i x="13" s="1"/>
        <i x="8" s="1"/>
        <i x="4" s="1"/>
        <i x="12" s="1"/>
        <i x="1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EE4DEB-FBD6-40E9-ADCB-6C0C802F4941}" sourceName="Category">
  <pivotTables>
    <pivotTable tabId="4" name="PivotTable15"/>
    <pivotTable tabId="4" name="PivotTable2"/>
    <pivotTable tabId="4" name="PivotTable11"/>
    <pivotTable tabId="4" name="PivotTable14"/>
    <pivotTable tabId="4" name="PivotTable16"/>
    <pivotTable tabId="4" name="PivotTable17"/>
    <pivotTable tabId="4" name="PivotTable18"/>
    <pivotTable tabId="4" name="PivotTable20"/>
    <pivotTable tabId="4" name="PivotTable23"/>
    <pivotTable tabId="4" name="PivotTable8"/>
    <pivotTable tabId="4" name="PivotTable9"/>
  </pivotTables>
  <data>
    <tabular pivotCacheId="48450549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7B8D39F-9BF5-4FDB-AAE8-B020E8AC4ED5}" sourceName="Product">
  <pivotTables>
    <pivotTable tabId="4" name="PivotTable15"/>
    <pivotTable tabId="4" name="PivotTable2"/>
    <pivotTable tabId="4" name="PivotTable11"/>
    <pivotTable tabId="4" name="PivotTable14"/>
    <pivotTable tabId="4" name="PivotTable16"/>
    <pivotTable tabId="4" name="PivotTable17"/>
    <pivotTable tabId="4" name="PivotTable18"/>
    <pivotTable tabId="4" name="PivotTable20"/>
    <pivotTable tabId="4" name="PivotTable23"/>
    <pivotTable tabId="4" name="PivotTable8"/>
    <pivotTable tabId="4" name="PivotTable9"/>
  </pivotTables>
  <data>
    <tabular pivotCacheId="484505498">
      <items count="12">
        <i x="8" s="1"/>
        <i x="4" s="1"/>
        <i x="3" s="1"/>
        <i x="1" s="1"/>
        <i x="10" s="1"/>
        <i x="9" s="1"/>
        <i x="6" s="1"/>
        <i x="7" s="1"/>
        <i x="0" s="1"/>
        <i x="11" s="1"/>
        <i x="2"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Channel" xr10:uid="{783123F7-F399-4937-A68C-E7C056C1EE13}" sourceName="SalesChannel">
  <pivotTables>
    <pivotTable tabId="4" name="PivotTable15"/>
    <pivotTable tabId="4" name="PivotTable2"/>
    <pivotTable tabId="4" name="PivotTable11"/>
    <pivotTable tabId="4" name="PivotTable14"/>
    <pivotTable tabId="4" name="PivotTable16"/>
    <pivotTable tabId="4" name="PivotTable17"/>
    <pivotTable tabId="4" name="PivotTable18"/>
    <pivotTable tabId="4" name="PivotTable20"/>
    <pivotTable tabId="4" name="PivotTable23"/>
    <pivotTable tabId="4" name="PivotTable8"/>
    <pivotTable tabId="4" name="PivotTable9"/>
  </pivotTables>
  <data>
    <tabular pivotCacheId="48450549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75A3213-4700-4D9E-A5CE-EF1C70F66BD6}" cache="Slicer_Region" caption="Region" rowHeight="234950"/>
  <slicer name="State 1" xr10:uid="{F480AEB7-E42A-438B-9A50-598784CEF8F6}" cache="Slicer_State" caption="State" rowHeight="234950"/>
  <slicer name="Category 1" xr10:uid="{A995EC11-23AF-4D1E-AC79-A45FCBAF5DAB}" cache="Slicer_Category" caption="Category" rowHeight="234950"/>
  <slicer name="Product 1" xr10:uid="{EF69F29A-03C5-40F3-9625-B61994475318}" cache="Slicer_Product" caption="Product" rowHeight="234950"/>
  <slicer name="SalesChannel 1" xr10:uid="{807E7CD5-20E6-4ACB-8AA3-D76BD5BF09D1}" cache="Slicer_SalesChannel" caption="SalesChann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BA0FB86-5341-40CA-B484-94991BA5A92F}" name="Table2" displayName="Table2" ref="A1:L1001" totalsRowShown="0">
  <autoFilter ref="A1:L1001" xr:uid="{EBA0FB86-5341-40CA-B484-94991BA5A92F}"/>
  <tableColumns count="12">
    <tableColumn id="2" xr3:uid="{AB8BF8E8-ABE7-44F9-890B-745BB4714C66}" name="Region"/>
    <tableColumn id="3" xr3:uid="{26F558F9-C47C-4EBB-BADF-F47A70CDCFAA}" name="State"/>
    <tableColumn id="4" xr3:uid="{E12D2C08-0210-4832-8CC8-03D12336C804}" name="Category"/>
    <tableColumn id="5" xr3:uid="{2B4E482B-1BC9-42CB-B18A-2E2D5F1A74E3}" name="Product"/>
    <tableColumn id="6" xr3:uid="{4487E780-0F59-4A0D-BF9E-397721A26E4C}" name="Distributor"/>
    <tableColumn id="7" xr3:uid="{EDE68040-A3EB-4F34-9C7D-B4D8E7BCB5E5}" name="SalesChannel"/>
    <tableColumn id="8" xr3:uid="{4304C3DA-F143-447E-A539-72B051574C49}" name="Quantity"/>
    <tableColumn id="9" xr3:uid="{17FD914E-9885-4A35-ADF5-3F90040A0B7E}" name="UnitPrice"/>
    <tableColumn id="10" xr3:uid="{1CA2525F-E131-4E01-A364-32DB652ADC54}" name="Revenue"/>
    <tableColumn id="11" xr3:uid="{2C5502C4-DB2C-4F84-B503-1F32C361170B}" name="Cost"/>
    <tableColumn id="12" xr3:uid="{F3B223BA-6E18-460C-849D-BB6612E44DA0}" name="Profit"/>
    <tableColumn id="13" xr3:uid="{7934489F-4FF7-4722-BD3A-500122900772}" name="Date" dataDxfId="4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30423B-2062-4E7C-B5B2-03B97EE9816B}" name="Table4" displayName="Table4" ref="I3:I4" totalsRowShown="0" headerRowDxfId="33" dataDxfId="32">
  <autoFilter ref="I3:I4" xr:uid="{5430423B-2062-4E7C-B5B2-03B97EE9816B}"/>
  <tableColumns count="1">
    <tableColumn id="1" xr3:uid="{B523FFAA-9B35-438D-AC52-CC7E87E7A916}" name="Average Selling Price" dataDxfId="31">
      <calculatedColumnFormula>GETPIVOTDATA("Revenue",$A$3)/GETPIVOTDATA("Quantity",$G$3)</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52E82-4C27-47BC-B78E-117FA37226D8}">
  <dimension ref="A1:L1001"/>
  <sheetViews>
    <sheetView topLeftCell="A14" zoomScaleNormal="100" workbookViewId="0">
      <selection activeCell="I14" sqref="I14"/>
    </sheetView>
  </sheetViews>
  <sheetFormatPr defaultRowHeight="14.4" x14ac:dyDescent="0.3"/>
  <cols>
    <col min="1" max="1" width="9" bestFit="1" customWidth="1"/>
    <col min="2" max="2" width="13.77734375" bestFit="1" customWidth="1"/>
    <col min="3" max="3" width="12.21875" bestFit="1" customWidth="1"/>
    <col min="4" max="4" width="18.5546875" bestFit="1" customWidth="1"/>
    <col min="5" max="5" width="20" bestFit="1" customWidth="1"/>
    <col min="6" max="6" width="14.33203125" bestFit="1" customWidth="1"/>
    <col min="7" max="7" width="10.5546875" bestFit="1" customWidth="1"/>
    <col min="8" max="8" width="10.88671875" bestFit="1" customWidth="1"/>
    <col min="9" max="9" width="10.5546875" bestFit="1" customWidth="1"/>
    <col min="10" max="10" width="9" bestFit="1" customWidth="1"/>
    <col min="11" max="11" width="9" customWidth="1"/>
    <col min="12" max="12" width="9.5546875" bestFit="1" customWidth="1"/>
  </cols>
  <sheetData>
    <row r="1" spans="1:12" x14ac:dyDescent="0.3">
      <c r="A1" t="s">
        <v>1</v>
      </c>
      <c r="B1" t="s">
        <v>2</v>
      </c>
      <c r="C1" t="s">
        <v>3</v>
      </c>
      <c r="D1" t="s">
        <v>4</v>
      </c>
      <c r="E1" t="s">
        <v>5</v>
      </c>
      <c r="F1" t="s">
        <v>6</v>
      </c>
      <c r="G1" t="s">
        <v>7</v>
      </c>
      <c r="H1" t="s">
        <v>8</v>
      </c>
      <c r="I1" t="s">
        <v>9</v>
      </c>
      <c r="J1" t="s">
        <v>10</v>
      </c>
      <c r="K1" t="s">
        <v>11</v>
      </c>
      <c r="L1" s="3" t="s">
        <v>0</v>
      </c>
    </row>
    <row r="2" spans="1:12" x14ac:dyDescent="0.3">
      <c r="A2" t="s">
        <v>13</v>
      </c>
      <c r="B2" t="s">
        <v>17</v>
      </c>
      <c r="C2" t="s">
        <v>34</v>
      </c>
      <c r="D2" t="s">
        <v>36</v>
      </c>
      <c r="E2" t="s">
        <v>48</v>
      </c>
      <c r="F2" t="s">
        <v>53</v>
      </c>
      <c r="G2">
        <v>79</v>
      </c>
      <c r="H2">
        <v>41.58</v>
      </c>
      <c r="I2">
        <v>3284.82</v>
      </c>
      <c r="J2">
        <v>2493.62</v>
      </c>
      <c r="K2">
        <v>791.2</v>
      </c>
      <c r="L2" s="2">
        <v>44927</v>
      </c>
    </row>
    <row r="3" spans="1:12" x14ac:dyDescent="0.3">
      <c r="A3" t="s">
        <v>14</v>
      </c>
      <c r="B3" t="s">
        <v>18</v>
      </c>
      <c r="C3" t="s">
        <v>34</v>
      </c>
      <c r="D3" t="s">
        <v>37</v>
      </c>
      <c r="E3" t="s">
        <v>49</v>
      </c>
      <c r="F3" t="s">
        <v>54</v>
      </c>
      <c r="G3">
        <v>273</v>
      </c>
      <c r="H3">
        <v>55.29</v>
      </c>
      <c r="I3">
        <v>15094.17</v>
      </c>
      <c r="J3">
        <v>9941.6299999999992</v>
      </c>
      <c r="K3">
        <v>5152.54</v>
      </c>
      <c r="L3" s="2">
        <v>44927</v>
      </c>
    </row>
    <row r="4" spans="1:12" x14ac:dyDescent="0.3">
      <c r="A4" t="s">
        <v>14</v>
      </c>
      <c r="B4" t="s">
        <v>19</v>
      </c>
      <c r="C4" t="s">
        <v>34</v>
      </c>
      <c r="D4" t="s">
        <v>36</v>
      </c>
      <c r="E4" t="s">
        <v>50</v>
      </c>
      <c r="F4" t="s">
        <v>53</v>
      </c>
      <c r="G4">
        <v>171</v>
      </c>
      <c r="H4">
        <v>71.8</v>
      </c>
      <c r="I4">
        <v>12277.8</v>
      </c>
      <c r="J4">
        <v>7462.24</v>
      </c>
      <c r="K4">
        <v>4815.5600000000004</v>
      </c>
      <c r="L4" s="2">
        <v>44927</v>
      </c>
    </row>
    <row r="5" spans="1:12" x14ac:dyDescent="0.3">
      <c r="A5" t="s">
        <v>15</v>
      </c>
      <c r="B5" t="s">
        <v>20</v>
      </c>
      <c r="C5" t="s">
        <v>34</v>
      </c>
      <c r="D5" t="s">
        <v>38</v>
      </c>
      <c r="E5" t="s">
        <v>49</v>
      </c>
      <c r="F5" t="s">
        <v>54</v>
      </c>
      <c r="G5">
        <v>113</v>
      </c>
      <c r="H5">
        <v>119.31</v>
      </c>
      <c r="I5">
        <v>13482.03</v>
      </c>
      <c r="J5">
        <v>9648.68</v>
      </c>
      <c r="K5">
        <v>3833.35</v>
      </c>
      <c r="L5" s="2">
        <v>44927</v>
      </c>
    </row>
    <row r="6" spans="1:12" x14ac:dyDescent="0.3">
      <c r="A6" t="s">
        <v>15</v>
      </c>
      <c r="B6" t="s">
        <v>21</v>
      </c>
      <c r="C6" t="s">
        <v>34</v>
      </c>
      <c r="D6" t="s">
        <v>36</v>
      </c>
      <c r="E6" t="s">
        <v>50</v>
      </c>
      <c r="F6" t="s">
        <v>55</v>
      </c>
      <c r="G6">
        <v>58</v>
      </c>
      <c r="H6">
        <v>136.19999999999999</v>
      </c>
      <c r="I6">
        <v>7899.6</v>
      </c>
      <c r="J6">
        <v>6590.94</v>
      </c>
      <c r="K6">
        <v>1308.6600000000001</v>
      </c>
      <c r="L6" s="2">
        <v>44927</v>
      </c>
    </row>
    <row r="7" spans="1:12" x14ac:dyDescent="0.3">
      <c r="A7" t="s">
        <v>15</v>
      </c>
      <c r="B7" t="s">
        <v>21</v>
      </c>
      <c r="C7" t="s">
        <v>35</v>
      </c>
      <c r="D7" t="s">
        <v>39</v>
      </c>
      <c r="E7" t="s">
        <v>48</v>
      </c>
      <c r="F7" t="s">
        <v>54</v>
      </c>
      <c r="G7">
        <v>122</v>
      </c>
      <c r="H7">
        <v>219.24</v>
      </c>
      <c r="I7">
        <v>26747.279999999999</v>
      </c>
      <c r="J7">
        <v>20130.03</v>
      </c>
      <c r="K7">
        <v>6617.25</v>
      </c>
      <c r="L7" s="2">
        <v>44927</v>
      </c>
    </row>
    <row r="8" spans="1:12" x14ac:dyDescent="0.3">
      <c r="A8" t="s">
        <v>16</v>
      </c>
      <c r="B8" t="s">
        <v>22</v>
      </c>
      <c r="C8" t="s">
        <v>35</v>
      </c>
      <c r="D8" t="s">
        <v>40</v>
      </c>
      <c r="E8" t="s">
        <v>51</v>
      </c>
      <c r="F8" t="s">
        <v>54</v>
      </c>
      <c r="G8">
        <v>263</v>
      </c>
      <c r="H8">
        <v>179.29</v>
      </c>
      <c r="I8">
        <v>47153.27</v>
      </c>
      <c r="J8">
        <v>39517.050000000003</v>
      </c>
      <c r="K8">
        <v>7636.22</v>
      </c>
      <c r="L8" s="2">
        <v>44927</v>
      </c>
    </row>
    <row r="9" spans="1:12" x14ac:dyDescent="0.3">
      <c r="A9" t="s">
        <v>13</v>
      </c>
      <c r="B9" t="s">
        <v>17</v>
      </c>
      <c r="C9" t="s">
        <v>35</v>
      </c>
      <c r="D9" t="s">
        <v>41</v>
      </c>
      <c r="E9" t="s">
        <v>50</v>
      </c>
      <c r="F9" t="s">
        <v>53</v>
      </c>
      <c r="G9">
        <v>455</v>
      </c>
      <c r="H9">
        <v>200.78</v>
      </c>
      <c r="I9">
        <v>91354.9</v>
      </c>
      <c r="J9">
        <v>77638.28</v>
      </c>
      <c r="K9">
        <v>13716.62</v>
      </c>
      <c r="L9" s="2">
        <v>44927</v>
      </c>
    </row>
    <row r="10" spans="1:12" x14ac:dyDescent="0.3">
      <c r="A10" t="s">
        <v>15</v>
      </c>
      <c r="B10" t="s">
        <v>21</v>
      </c>
      <c r="C10" t="s">
        <v>34</v>
      </c>
      <c r="D10" t="s">
        <v>36</v>
      </c>
      <c r="E10" t="s">
        <v>49</v>
      </c>
      <c r="F10" t="s">
        <v>54</v>
      </c>
      <c r="G10">
        <v>227</v>
      </c>
      <c r="H10">
        <v>173.74</v>
      </c>
      <c r="I10">
        <v>39438.980000000003</v>
      </c>
      <c r="J10">
        <v>32834.639999999999</v>
      </c>
      <c r="K10">
        <v>6604.34</v>
      </c>
      <c r="L10" s="2">
        <v>44927</v>
      </c>
    </row>
    <row r="11" spans="1:12" x14ac:dyDescent="0.3">
      <c r="A11" t="s">
        <v>14</v>
      </c>
      <c r="B11" t="s">
        <v>23</v>
      </c>
      <c r="C11" t="s">
        <v>35</v>
      </c>
      <c r="D11" t="s">
        <v>42</v>
      </c>
      <c r="E11" t="s">
        <v>52</v>
      </c>
      <c r="F11" t="s">
        <v>55</v>
      </c>
      <c r="G11">
        <v>319</v>
      </c>
      <c r="H11">
        <v>184.32</v>
      </c>
      <c r="I11">
        <v>58798.080000000002</v>
      </c>
      <c r="J11">
        <v>49836.69</v>
      </c>
      <c r="K11">
        <v>8961.39</v>
      </c>
      <c r="L11" s="2">
        <v>44927</v>
      </c>
    </row>
    <row r="12" spans="1:12" x14ac:dyDescent="0.3">
      <c r="A12" t="s">
        <v>16</v>
      </c>
      <c r="B12" t="s">
        <v>24</v>
      </c>
      <c r="C12" t="s">
        <v>35</v>
      </c>
      <c r="D12" t="s">
        <v>42</v>
      </c>
      <c r="E12" t="s">
        <v>52</v>
      </c>
      <c r="F12" t="s">
        <v>53</v>
      </c>
      <c r="G12">
        <v>440</v>
      </c>
      <c r="H12">
        <v>27.26</v>
      </c>
      <c r="I12">
        <v>11994.4</v>
      </c>
      <c r="J12">
        <v>9007.18</v>
      </c>
      <c r="K12">
        <v>2987.22</v>
      </c>
      <c r="L12" s="2">
        <v>44927</v>
      </c>
    </row>
    <row r="13" spans="1:12" x14ac:dyDescent="0.3">
      <c r="A13" t="s">
        <v>16</v>
      </c>
      <c r="B13" t="s">
        <v>24</v>
      </c>
      <c r="C13" t="s">
        <v>35</v>
      </c>
      <c r="D13" t="s">
        <v>41</v>
      </c>
      <c r="E13" t="s">
        <v>51</v>
      </c>
      <c r="F13" t="s">
        <v>55</v>
      </c>
      <c r="G13">
        <v>351</v>
      </c>
      <c r="H13">
        <v>221.51</v>
      </c>
      <c r="I13">
        <v>77750.009999999995</v>
      </c>
      <c r="J13">
        <v>65443.07</v>
      </c>
      <c r="K13">
        <v>12306.94</v>
      </c>
      <c r="L13" s="2">
        <v>44927</v>
      </c>
    </row>
    <row r="14" spans="1:12" x14ac:dyDescent="0.3">
      <c r="A14" t="s">
        <v>14</v>
      </c>
      <c r="B14" t="s">
        <v>23</v>
      </c>
      <c r="C14" t="s">
        <v>34</v>
      </c>
      <c r="D14" t="s">
        <v>37</v>
      </c>
      <c r="E14" t="s">
        <v>52</v>
      </c>
      <c r="F14" t="s">
        <v>54</v>
      </c>
      <c r="G14">
        <v>444</v>
      </c>
      <c r="H14">
        <v>248.05</v>
      </c>
      <c r="I14">
        <v>110134.2</v>
      </c>
      <c r="J14">
        <v>85862.2</v>
      </c>
      <c r="K14">
        <v>24272</v>
      </c>
      <c r="L14" s="2">
        <v>44927</v>
      </c>
    </row>
    <row r="15" spans="1:12" x14ac:dyDescent="0.3">
      <c r="A15" t="s">
        <v>16</v>
      </c>
      <c r="B15" t="s">
        <v>25</v>
      </c>
      <c r="C15" t="s">
        <v>34</v>
      </c>
      <c r="D15" t="s">
        <v>43</v>
      </c>
      <c r="E15" t="s">
        <v>49</v>
      </c>
      <c r="F15" t="s">
        <v>54</v>
      </c>
      <c r="G15">
        <v>140</v>
      </c>
      <c r="H15">
        <v>32.549999999999997</v>
      </c>
      <c r="I15">
        <v>4557</v>
      </c>
      <c r="J15">
        <v>2736.87</v>
      </c>
      <c r="K15">
        <v>1820.13</v>
      </c>
      <c r="L15" s="2">
        <v>44927</v>
      </c>
    </row>
    <row r="16" spans="1:12" x14ac:dyDescent="0.3">
      <c r="A16" t="s">
        <v>14</v>
      </c>
      <c r="B16" t="s">
        <v>19</v>
      </c>
      <c r="C16" t="s">
        <v>35</v>
      </c>
      <c r="D16" t="s">
        <v>44</v>
      </c>
      <c r="E16" t="s">
        <v>51</v>
      </c>
      <c r="F16" t="s">
        <v>53</v>
      </c>
      <c r="G16">
        <v>163</v>
      </c>
      <c r="H16">
        <v>13.8</v>
      </c>
      <c r="I16">
        <v>2249.4</v>
      </c>
      <c r="J16">
        <v>1722.78</v>
      </c>
      <c r="K16">
        <v>526.62</v>
      </c>
      <c r="L16" s="2">
        <v>44927</v>
      </c>
    </row>
    <row r="17" spans="1:12" x14ac:dyDescent="0.3">
      <c r="A17" t="s">
        <v>14</v>
      </c>
      <c r="B17" t="s">
        <v>18</v>
      </c>
      <c r="C17" t="s">
        <v>34</v>
      </c>
      <c r="D17" t="s">
        <v>45</v>
      </c>
      <c r="E17" t="s">
        <v>50</v>
      </c>
      <c r="F17" t="s">
        <v>54</v>
      </c>
      <c r="G17">
        <v>210</v>
      </c>
      <c r="H17">
        <v>273.79000000000002</v>
      </c>
      <c r="I17">
        <v>57495.9</v>
      </c>
      <c r="J17">
        <v>44116.61</v>
      </c>
      <c r="K17">
        <v>13379.29</v>
      </c>
      <c r="L17" s="2">
        <v>44927</v>
      </c>
    </row>
    <row r="18" spans="1:12" x14ac:dyDescent="0.3">
      <c r="A18" t="s">
        <v>16</v>
      </c>
      <c r="B18" t="s">
        <v>22</v>
      </c>
      <c r="C18" t="s">
        <v>34</v>
      </c>
      <c r="D18" t="s">
        <v>43</v>
      </c>
      <c r="E18" t="s">
        <v>49</v>
      </c>
      <c r="F18" t="s">
        <v>54</v>
      </c>
      <c r="G18">
        <v>298</v>
      </c>
      <c r="H18">
        <v>277.60000000000002</v>
      </c>
      <c r="I18">
        <v>82724.800000000003</v>
      </c>
      <c r="J18">
        <v>59707.9</v>
      </c>
      <c r="K18">
        <v>23016.9</v>
      </c>
      <c r="L18" s="2">
        <v>44927</v>
      </c>
    </row>
    <row r="19" spans="1:12" x14ac:dyDescent="0.3">
      <c r="A19" t="s">
        <v>16</v>
      </c>
      <c r="B19" t="s">
        <v>24</v>
      </c>
      <c r="C19" t="s">
        <v>35</v>
      </c>
      <c r="D19" t="s">
        <v>46</v>
      </c>
      <c r="E19" t="s">
        <v>49</v>
      </c>
      <c r="F19" t="s">
        <v>53</v>
      </c>
      <c r="G19">
        <v>205</v>
      </c>
      <c r="H19">
        <v>260.75</v>
      </c>
      <c r="I19">
        <v>53453.75</v>
      </c>
      <c r="J19">
        <v>35325.949999999997</v>
      </c>
      <c r="K19">
        <v>18127.8</v>
      </c>
      <c r="L19" s="2">
        <v>44927</v>
      </c>
    </row>
    <row r="20" spans="1:12" x14ac:dyDescent="0.3">
      <c r="A20" t="s">
        <v>16</v>
      </c>
      <c r="B20" t="s">
        <v>25</v>
      </c>
      <c r="C20" t="s">
        <v>35</v>
      </c>
      <c r="D20" t="s">
        <v>47</v>
      </c>
      <c r="E20" t="s">
        <v>48</v>
      </c>
      <c r="F20" t="s">
        <v>55</v>
      </c>
      <c r="G20">
        <v>269</v>
      </c>
      <c r="H20">
        <v>243.91</v>
      </c>
      <c r="I20">
        <v>65611.789999999994</v>
      </c>
      <c r="J20">
        <v>47182.81</v>
      </c>
      <c r="K20">
        <v>18428.98</v>
      </c>
      <c r="L20" s="2">
        <v>44927</v>
      </c>
    </row>
    <row r="21" spans="1:12" x14ac:dyDescent="0.3">
      <c r="A21" t="s">
        <v>13</v>
      </c>
      <c r="B21" t="s">
        <v>26</v>
      </c>
      <c r="C21" t="s">
        <v>34</v>
      </c>
      <c r="D21" t="s">
        <v>36</v>
      </c>
      <c r="E21" t="s">
        <v>48</v>
      </c>
      <c r="F21" t="s">
        <v>55</v>
      </c>
      <c r="G21">
        <v>180</v>
      </c>
      <c r="H21">
        <v>229.87</v>
      </c>
      <c r="I21">
        <v>41376.6</v>
      </c>
      <c r="J21">
        <v>32516.05</v>
      </c>
      <c r="K21">
        <v>8860.5499999999993</v>
      </c>
      <c r="L21" s="2">
        <v>44927</v>
      </c>
    </row>
    <row r="22" spans="1:12" x14ac:dyDescent="0.3">
      <c r="A22" t="s">
        <v>14</v>
      </c>
      <c r="B22" t="s">
        <v>23</v>
      </c>
      <c r="C22" t="s">
        <v>35</v>
      </c>
      <c r="D22" t="s">
        <v>39</v>
      </c>
      <c r="E22" t="s">
        <v>49</v>
      </c>
      <c r="F22" t="s">
        <v>55</v>
      </c>
      <c r="G22">
        <v>79</v>
      </c>
      <c r="H22">
        <v>81.33</v>
      </c>
      <c r="I22">
        <v>6425.07</v>
      </c>
      <c r="J22">
        <v>4113.1400000000003</v>
      </c>
      <c r="K22">
        <v>2311.9299999999998</v>
      </c>
      <c r="L22" s="2">
        <v>44927</v>
      </c>
    </row>
    <row r="23" spans="1:12" x14ac:dyDescent="0.3">
      <c r="A23" t="s">
        <v>13</v>
      </c>
      <c r="B23" t="s">
        <v>27</v>
      </c>
      <c r="C23" t="s">
        <v>35</v>
      </c>
      <c r="D23" t="s">
        <v>40</v>
      </c>
      <c r="E23" t="s">
        <v>52</v>
      </c>
      <c r="F23" t="s">
        <v>55</v>
      </c>
      <c r="G23">
        <v>485</v>
      </c>
      <c r="H23">
        <v>245.74</v>
      </c>
      <c r="I23">
        <v>119183.9</v>
      </c>
      <c r="J23">
        <v>101297.9</v>
      </c>
      <c r="K23">
        <v>17886</v>
      </c>
      <c r="L23" s="2">
        <v>44927</v>
      </c>
    </row>
    <row r="24" spans="1:12" x14ac:dyDescent="0.3">
      <c r="A24" t="s">
        <v>16</v>
      </c>
      <c r="B24" t="s">
        <v>28</v>
      </c>
      <c r="C24" t="s">
        <v>34</v>
      </c>
      <c r="D24" t="s">
        <v>45</v>
      </c>
      <c r="E24" t="s">
        <v>49</v>
      </c>
      <c r="F24" t="s">
        <v>54</v>
      </c>
      <c r="G24">
        <v>70</v>
      </c>
      <c r="H24">
        <v>65.760000000000005</v>
      </c>
      <c r="I24">
        <v>4603.2</v>
      </c>
      <c r="J24">
        <v>2808.95</v>
      </c>
      <c r="K24">
        <v>1794.25</v>
      </c>
      <c r="L24" s="2">
        <v>44927</v>
      </c>
    </row>
    <row r="25" spans="1:12" x14ac:dyDescent="0.3">
      <c r="A25" t="s">
        <v>16</v>
      </c>
      <c r="B25" t="s">
        <v>24</v>
      </c>
      <c r="C25" t="s">
        <v>35</v>
      </c>
      <c r="D25" t="s">
        <v>40</v>
      </c>
      <c r="E25" t="s">
        <v>51</v>
      </c>
      <c r="F25" t="s">
        <v>54</v>
      </c>
      <c r="G25">
        <v>139</v>
      </c>
      <c r="H25">
        <v>298.3</v>
      </c>
      <c r="I25">
        <v>41463.699999999997</v>
      </c>
      <c r="J25">
        <v>31738.799999999999</v>
      </c>
      <c r="K25">
        <v>9724.9</v>
      </c>
      <c r="L25" s="2">
        <v>44927</v>
      </c>
    </row>
    <row r="26" spans="1:12" x14ac:dyDescent="0.3">
      <c r="A26" t="s">
        <v>14</v>
      </c>
      <c r="B26" t="s">
        <v>18</v>
      </c>
      <c r="C26" t="s">
        <v>34</v>
      </c>
      <c r="D26" t="s">
        <v>43</v>
      </c>
      <c r="E26" t="s">
        <v>52</v>
      </c>
      <c r="F26" t="s">
        <v>53</v>
      </c>
      <c r="G26">
        <v>224</v>
      </c>
      <c r="H26">
        <v>46.96</v>
      </c>
      <c r="I26">
        <v>10519.04</v>
      </c>
      <c r="J26">
        <v>8172.47</v>
      </c>
      <c r="K26">
        <v>2346.5700000000002</v>
      </c>
      <c r="L26" s="2">
        <v>44927</v>
      </c>
    </row>
    <row r="27" spans="1:12" x14ac:dyDescent="0.3">
      <c r="A27" t="s">
        <v>13</v>
      </c>
      <c r="B27" t="s">
        <v>17</v>
      </c>
      <c r="C27" t="s">
        <v>34</v>
      </c>
      <c r="D27" t="s">
        <v>36</v>
      </c>
      <c r="E27" t="s">
        <v>51</v>
      </c>
      <c r="F27" t="s">
        <v>53</v>
      </c>
      <c r="G27">
        <v>243</v>
      </c>
      <c r="H27">
        <v>80.25</v>
      </c>
      <c r="I27">
        <v>19500.75</v>
      </c>
      <c r="J27">
        <v>14032.06</v>
      </c>
      <c r="K27">
        <v>5468.69</v>
      </c>
      <c r="L27" s="2">
        <v>44927</v>
      </c>
    </row>
    <row r="28" spans="1:12" x14ac:dyDescent="0.3">
      <c r="A28" t="s">
        <v>15</v>
      </c>
      <c r="B28" t="s">
        <v>29</v>
      </c>
      <c r="C28" t="s">
        <v>35</v>
      </c>
      <c r="D28" t="s">
        <v>42</v>
      </c>
      <c r="E28" t="s">
        <v>51</v>
      </c>
      <c r="F28" t="s">
        <v>54</v>
      </c>
      <c r="G28">
        <v>330</v>
      </c>
      <c r="H28">
        <v>254.19</v>
      </c>
      <c r="I28">
        <v>83882.7</v>
      </c>
      <c r="J28">
        <v>61254.46</v>
      </c>
      <c r="K28">
        <v>22628.240000000002</v>
      </c>
      <c r="L28" s="2">
        <v>44927</v>
      </c>
    </row>
    <row r="29" spans="1:12" x14ac:dyDescent="0.3">
      <c r="A29" t="s">
        <v>13</v>
      </c>
      <c r="B29" t="s">
        <v>26</v>
      </c>
      <c r="C29" t="s">
        <v>34</v>
      </c>
      <c r="D29" t="s">
        <v>36</v>
      </c>
      <c r="E29" t="s">
        <v>51</v>
      </c>
      <c r="F29" t="s">
        <v>55</v>
      </c>
      <c r="G29">
        <v>160</v>
      </c>
      <c r="H29">
        <v>255.96</v>
      </c>
      <c r="I29">
        <v>40953.599999999999</v>
      </c>
      <c r="J29">
        <v>25829.200000000001</v>
      </c>
      <c r="K29">
        <v>15124.4</v>
      </c>
      <c r="L29" s="2">
        <v>44927</v>
      </c>
    </row>
    <row r="30" spans="1:12" x14ac:dyDescent="0.3">
      <c r="A30" t="s">
        <v>13</v>
      </c>
      <c r="B30" t="s">
        <v>30</v>
      </c>
      <c r="C30" t="s">
        <v>34</v>
      </c>
      <c r="D30" t="s">
        <v>45</v>
      </c>
      <c r="E30" t="s">
        <v>48</v>
      </c>
      <c r="F30" t="s">
        <v>55</v>
      </c>
      <c r="G30">
        <v>70</v>
      </c>
      <c r="H30">
        <v>85.1</v>
      </c>
      <c r="I30">
        <v>5957</v>
      </c>
      <c r="J30">
        <v>4450.7</v>
      </c>
      <c r="K30">
        <v>1506.3</v>
      </c>
      <c r="L30" s="2">
        <v>44927</v>
      </c>
    </row>
    <row r="31" spans="1:12" x14ac:dyDescent="0.3">
      <c r="A31" t="s">
        <v>14</v>
      </c>
      <c r="B31" t="s">
        <v>18</v>
      </c>
      <c r="C31" t="s">
        <v>34</v>
      </c>
      <c r="D31" t="s">
        <v>45</v>
      </c>
      <c r="E31" t="s">
        <v>50</v>
      </c>
      <c r="F31" t="s">
        <v>53</v>
      </c>
      <c r="G31">
        <v>74</v>
      </c>
      <c r="H31">
        <v>268.16000000000003</v>
      </c>
      <c r="I31">
        <v>19843.84</v>
      </c>
      <c r="J31">
        <v>13332.13</v>
      </c>
      <c r="K31">
        <v>6511.71</v>
      </c>
      <c r="L31" s="2">
        <v>44927</v>
      </c>
    </row>
    <row r="32" spans="1:12" x14ac:dyDescent="0.3">
      <c r="A32" t="s">
        <v>15</v>
      </c>
      <c r="B32" t="s">
        <v>29</v>
      </c>
      <c r="C32" t="s">
        <v>34</v>
      </c>
      <c r="D32" t="s">
        <v>43</v>
      </c>
      <c r="E32" t="s">
        <v>51</v>
      </c>
      <c r="F32" t="s">
        <v>53</v>
      </c>
      <c r="G32">
        <v>241</v>
      </c>
      <c r="H32">
        <v>197.13</v>
      </c>
      <c r="I32">
        <v>47508.33</v>
      </c>
      <c r="J32">
        <v>35580.78</v>
      </c>
      <c r="K32">
        <v>11927.55</v>
      </c>
      <c r="L32" s="2">
        <v>44958</v>
      </c>
    </row>
    <row r="33" spans="1:12" x14ac:dyDescent="0.3">
      <c r="A33" t="s">
        <v>14</v>
      </c>
      <c r="B33" t="s">
        <v>18</v>
      </c>
      <c r="C33" t="s">
        <v>34</v>
      </c>
      <c r="D33" t="s">
        <v>36</v>
      </c>
      <c r="E33" t="s">
        <v>49</v>
      </c>
      <c r="F33" t="s">
        <v>55</v>
      </c>
      <c r="G33">
        <v>235</v>
      </c>
      <c r="H33">
        <v>259.70999999999998</v>
      </c>
      <c r="I33">
        <v>61031.85</v>
      </c>
      <c r="J33">
        <v>39968.39</v>
      </c>
      <c r="K33">
        <v>21063.46</v>
      </c>
      <c r="L33" s="2">
        <v>44958</v>
      </c>
    </row>
    <row r="34" spans="1:12" x14ac:dyDescent="0.3">
      <c r="A34" t="s">
        <v>13</v>
      </c>
      <c r="B34" t="s">
        <v>26</v>
      </c>
      <c r="C34" t="s">
        <v>35</v>
      </c>
      <c r="D34" t="s">
        <v>41</v>
      </c>
      <c r="E34" t="s">
        <v>52</v>
      </c>
      <c r="F34" t="s">
        <v>54</v>
      </c>
      <c r="G34">
        <v>340</v>
      </c>
      <c r="H34">
        <v>183.62</v>
      </c>
      <c r="I34">
        <v>62430.8</v>
      </c>
      <c r="J34">
        <v>45295.94</v>
      </c>
      <c r="K34">
        <v>17134.86</v>
      </c>
      <c r="L34" s="2">
        <v>44958</v>
      </c>
    </row>
    <row r="35" spans="1:12" x14ac:dyDescent="0.3">
      <c r="A35" t="s">
        <v>13</v>
      </c>
      <c r="B35" t="s">
        <v>17</v>
      </c>
      <c r="C35" t="s">
        <v>34</v>
      </c>
      <c r="D35" t="s">
        <v>38</v>
      </c>
      <c r="E35" t="s">
        <v>49</v>
      </c>
      <c r="F35" t="s">
        <v>55</v>
      </c>
      <c r="G35">
        <v>85</v>
      </c>
      <c r="H35">
        <v>119.98</v>
      </c>
      <c r="I35">
        <v>10198.299999999999</v>
      </c>
      <c r="J35">
        <v>8481.0300000000007</v>
      </c>
      <c r="K35">
        <v>1717.27</v>
      </c>
      <c r="L35" s="2">
        <v>44958</v>
      </c>
    </row>
    <row r="36" spans="1:12" x14ac:dyDescent="0.3">
      <c r="A36" t="s">
        <v>16</v>
      </c>
      <c r="B36" t="s">
        <v>25</v>
      </c>
      <c r="C36" t="s">
        <v>35</v>
      </c>
      <c r="D36" t="s">
        <v>47</v>
      </c>
      <c r="E36" t="s">
        <v>51</v>
      </c>
      <c r="F36" t="s">
        <v>54</v>
      </c>
      <c r="G36">
        <v>292</v>
      </c>
      <c r="H36">
        <v>289.89</v>
      </c>
      <c r="I36">
        <v>84647.88</v>
      </c>
      <c r="J36">
        <v>61124.11</v>
      </c>
      <c r="K36">
        <v>23523.77</v>
      </c>
      <c r="L36" s="2">
        <v>44958</v>
      </c>
    </row>
    <row r="37" spans="1:12" x14ac:dyDescent="0.3">
      <c r="A37" t="s">
        <v>15</v>
      </c>
      <c r="B37" t="s">
        <v>31</v>
      </c>
      <c r="C37" t="s">
        <v>34</v>
      </c>
      <c r="D37" t="s">
        <v>38</v>
      </c>
      <c r="E37" t="s">
        <v>48</v>
      </c>
      <c r="F37" t="s">
        <v>53</v>
      </c>
      <c r="G37">
        <v>479</v>
      </c>
      <c r="H37">
        <v>102.44</v>
      </c>
      <c r="I37">
        <v>49068.76</v>
      </c>
      <c r="J37">
        <v>37119.18</v>
      </c>
      <c r="K37">
        <v>11949.58</v>
      </c>
      <c r="L37" s="2">
        <v>44958</v>
      </c>
    </row>
    <row r="38" spans="1:12" x14ac:dyDescent="0.3">
      <c r="A38" t="s">
        <v>14</v>
      </c>
      <c r="B38" t="s">
        <v>19</v>
      </c>
      <c r="C38" t="s">
        <v>34</v>
      </c>
      <c r="D38" t="s">
        <v>36</v>
      </c>
      <c r="E38" t="s">
        <v>50</v>
      </c>
      <c r="F38" t="s">
        <v>55</v>
      </c>
      <c r="G38">
        <v>10</v>
      </c>
      <c r="H38">
        <v>72.55</v>
      </c>
      <c r="I38">
        <v>725.5</v>
      </c>
      <c r="J38">
        <v>554.80999999999995</v>
      </c>
      <c r="K38">
        <v>170.69</v>
      </c>
      <c r="L38" s="2">
        <v>44958</v>
      </c>
    </row>
    <row r="39" spans="1:12" x14ac:dyDescent="0.3">
      <c r="A39" t="s">
        <v>13</v>
      </c>
      <c r="B39" t="s">
        <v>30</v>
      </c>
      <c r="C39" t="s">
        <v>35</v>
      </c>
      <c r="D39" t="s">
        <v>47</v>
      </c>
      <c r="E39" t="s">
        <v>48</v>
      </c>
      <c r="F39" t="s">
        <v>55</v>
      </c>
      <c r="G39">
        <v>101</v>
      </c>
      <c r="H39">
        <v>179.07</v>
      </c>
      <c r="I39">
        <v>18086.07</v>
      </c>
      <c r="J39">
        <v>15371.87</v>
      </c>
      <c r="K39">
        <v>2714.2</v>
      </c>
      <c r="L39" s="2">
        <v>44958</v>
      </c>
    </row>
    <row r="40" spans="1:12" x14ac:dyDescent="0.3">
      <c r="A40" t="s">
        <v>16</v>
      </c>
      <c r="B40" t="s">
        <v>22</v>
      </c>
      <c r="C40" t="s">
        <v>34</v>
      </c>
      <c r="D40" t="s">
        <v>45</v>
      </c>
      <c r="E40" t="s">
        <v>48</v>
      </c>
      <c r="F40" t="s">
        <v>55</v>
      </c>
      <c r="G40">
        <v>275</v>
      </c>
      <c r="H40">
        <v>71.41</v>
      </c>
      <c r="I40">
        <v>19637.75</v>
      </c>
      <c r="J40">
        <v>14161.77</v>
      </c>
      <c r="K40">
        <v>5475.98</v>
      </c>
      <c r="L40" s="2">
        <v>44958</v>
      </c>
    </row>
    <row r="41" spans="1:12" x14ac:dyDescent="0.3">
      <c r="A41" t="s">
        <v>16</v>
      </c>
      <c r="B41" t="s">
        <v>25</v>
      </c>
      <c r="C41" t="s">
        <v>34</v>
      </c>
      <c r="D41" t="s">
        <v>43</v>
      </c>
      <c r="E41" t="s">
        <v>52</v>
      </c>
      <c r="F41" t="s">
        <v>53</v>
      </c>
      <c r="G41">
        <v>45</v>
      </c>
      <c r="H41">
        <v>288.88</v>
      </c>
      <c r="I41">
        <v>12999.6</v>
      </c>
      <c r="J41">
        <v>9863.32</v>
      </c>
      <c r="K41">
        <v>3136.28</v>
      </c>
      <c r="L41" s="2">
        <v>44958</v>
      </c>
    </row>
    <row r="42" spans="1:12" x14ac:dyDescent="0.3">
      <c r="A42" t="s">
        <v>15</v>
      </c>
      <c r="B42" t="s">
        <v>29</v>
      </c>
      <c r="C42" t="s">
        <v>35</v>
      </c>
      <c r="D42" t="s">
        <v>40</v>
      </c>
      <c r="E42" t="s">
        <v>49</v>
      </c>
      <c r="F42" t="s">
        <v>54</v>
      </c>
      <c r="G42">
        <v>41</v>
      </c>
      <c r="H42">
        <v>140.31</v>
      </c>
      <c r="I42">
        <v>5752.71</v>
      </c>
      <c r="J42">
        <v>4294.2</v>
      </c>
      <c r="K42">
        <v>1458.51</v>
      </c>
      <c r="L42" s="2">
        <v>44958</v>
      </c>
    </row>
    <row r="43" spans="1:12" x14ac:dyDescent="0.3">
      <c r="A43" t="s">
        <v>13</v>
      </c>
      <c r="B43" t="s">
        <v>17</v>
      </c>
      <c r="C43" t="s">
        <v>34</v>
      </c>
      <c r="D43" t="s">
        <v>45</v>
      </c>
      <c r="E43" t="s">
        <v>52</v>
      </c>
      <c r="F43" t="s">
        <v>55</v>
      </c>
      <c r="G43">
        <v>297</v>
      </c>
      <c r="H43">
        <v>200.38</v>
      </c>
      <c r="I43">
        <v>59512.86</v>
      </c>
      <c r="J43">
        <v>37613.550000000003</v>
      </c>
      <c r="K43">
        <v>21899.31</v>
      </c>
      <c r="L43" s="2">
        <v>44958</v>
      </c>
    </row>
    <row r="44" spans="1:12" x14ac:dyDescent="0.3">
      <c r="A44" t="s">
        <v>13</v>
      </c>
      <c r="B44" t="s">
        <v>26</v>
      </c>
      <c r="C44" t="s">
        <v>35</v>
      </c>
      <c r="D44" t="s">
        <v>44</v>
      </c>
      <c r="E44" t="s">
        <v>49</v>
      </c>
      <c r="F44" t="s">
        <v>55</v>
      </c>
      <c r="G44">
        <v>310</v>
      </c>
      <c r="H44">
        <v>90.11</v>
      </c>
      <c r="I44">
        <v>27934.1</v>
      </c>
      <c r="J44">
        <v>23615.86</v>
      </c>
      <c r="K44">
        <v>4318.24</v>
      </c>
      <c r="L44" s="2">
        <v>44958</v>
      </c>
    </row>
    <row r="45" spans="1:12" x14ac:dyDescent="0.3">
      <c r="A45" t="s">
        <v>16</v>
      </c>
      <c r="B45" t="s">
        <v>22</v>
      </c>
      <c r="C45" t="s">
        <v>35</v>
      </c>
      <c r="D45" t="s">
        <v>40</v>
      </c>
      <c r="E45" t="s">
        <v>49</v>
      </c>
      <c r="F45" t="s">
        <v>55</v>
      </c>
      <c r="G45">
        <v>184</v>
      </c>
      <c r="H45">
        <v>136.24</v>
      </c>
      <c r="I45">
        <v>25068.16</v>
      </c>
      <c r="J45">
        <v>18483.439999999999</v>
      </c>
      <c r="K45">
        <v>6584.72</v>
      </c>
      <c r="L45" s="2">
        <v>44958</v>
      </c>
    </row>
    <row r="46" spans="1:12" x14ac:dyDescent="0.3">
      <c r="A46" t="s">
        <v>13</v>
      </c>
      <c r="B46" t="s">
        <v>30</v>
      </c>
      <c r="C46" t="s">
        <v>34</v>
      </c>
      <c r="D46" t="s">
        <v>43</v>
      </c>
      <c r="E46" t="s">
        <v>50</v>
      </c>
      <c r="F46" t="s">
        <v>53</v>
      </c>
      <c r="G46">
        <v>189</v>
      </c>
      <c r="H46">
        <v>131.49</v>
      </c>
      <c r="I46">
        <v>24851.61</v>
      </c>
      <c r="J46">
        <v>20594.810000000001</v>
      </c>
      <c r="K46">
        <v>4256.8</v>
      </c>
      <c r="L46" s="2">
        <v>44958</v>
      </c>
    </row>
    <row r="47" spans="1:12" x14ac:dyDescent="0.3">
      <c r="A47" t="s">
        <v>16</v>
      </c>
      <c r="B47" t="s">
        <v>24</v>
      </c>
      <c r="C47" t="s">
        <v>35</v>
      </c>
      <c r="D47" t="s">
        <v>46</v>
      </c>
      <c r="E47" t="s">
        <v>50</v>
      </c>
      <c r="F47" t="s">
        <v>53</v>
      </c>
      <c r="G47">
        <v>475</v>
      </c>
      <c r="H47">
        <v>13.77</v>
      </c>
      <c r="I47">
        <v>6540.75</v>
      </c>
      <c r="J47">
        <v>4064.27</v>
      </c>
      <c r="K47">
        <v>2476.48</v>
      </c>
      <c r="L47" s="2">
        <v>44958</v>
      </c>
    </row>
    <row r="48" spans="1:12" x14ac:dyDescent="0.3">
      <c r="A48" t="s">
        <v>15</v>
      </c>
      <c r="B48" t="s">
        <v>29</v>
      </c>
      <c r="C48" t="s">
        <v>34</v>
      </c>
      <c r="D48" t="s">
        <v>45</v>
      </c>
      <c r="E48" t="s">
        <v>52</v>
      </c>
      <c r="F48" t="s">
        <v>53</v>
      </c>
      <c r="G48">
        <v>62</v>
      </c>
      <c r="H48">
        <v>243.15</v>
      </c>
      <c r="I48">
        <v>15075.3</v>
      </c>
      <c r="J48">
        <v>11127.46</v>
      </c>
      <c r="K48">
        <v>3947.84</v>
      </c>
      <c r="L48" s="2">
        <v>44958</v>
      </c>
    </row>
    <row r="49" spans="1:12" x14ac:dyDescent="0.3">
      <c r="A49" t="s">
        <v>14</v>
      </c>
      <c r="B49" t="s">
        <v>18</v>
      </c>
      <c r="C49" t="s">
        <v>34</v>
      </c>
      <c r="D49" t="s">
        <v>43</v>
      </c>
      <c r="E49" t="s">
        <v>52</v>
      </c>
      <c r="F49" t="s">
        <v>55</v>
      </c>
      <c r="G49">
        <v>454</v>
      </c>
      <c r="H49">
        <v>217.07</v>
      </c>
      <c r="I49">
        <v>98549.78</v>
      </c>
      <c r="J49">
        <v>74107.100000000006</v>
      </c>
      <c r="K49">
        <v>24442.68</v>
      </c>
      <c r="L49" s="2">
        <v>44958</v>
      </c>
    </row>
    <row r="50" spans="1:12" x14ac:dyDescent="0.3">
      <c r="A50" t="s">
        <v>14</v>
      </c>
      <c r="B50" t="s">
        <v>19</v>
      </c>
      <c r="C50" t="s">
        <v>35</v>
      </c>
      <c r="D50" t="s">
        <v>39</v>
      </c>
      <c r="E50" t="s">
        <v>50</v>
      </c>
      <c r="F50" t="s">
        <v>54</v>
      </c>
      <c r="G50">
        <v>77</v>
      </c>
      <c r="H50">
        <v>33.19</v>
      </c>
      <c r="I50">
        <v>2555.63</v>
      </c>
      <c r="J50">
        <v>2029.63</v>
      </c>
      <c r="K50">
        <v>526</v>
      </c>
      <c r="L50" s="2">
        <v>44958</v>
      </c>
    </row>
    <row r="51" spans="1:12" x14ac:dyDescent="0.3">
      <c r="A51" t="s">
        <v>13</v>
      </c>
      <c r="B51" t="s">
        <v>17</v>
      </c>
      <c r="C51" t="s">
        <v>34</v>
      </c>
      <c r="D51" t="s">
        <v>38</v>
      </c>
      <c r="E51" t="s">
        <v>49</v>
      </c>
      <c r="F51" t="s">
        <v>53</v>
      </c>
      <c r="G51">
        <v>172</v>
      </c>
      <c r="H51">
        <v>89.93</v>
      </c>
      <c r="I51">
        <v>15467.96</v>
      </c>
      <c r="J51">
        <v>12324.59</v>
      </c>
      <c r="K51">
        <v>3143.37</v>
      </c>
      <c r="L51" s="2">
        <v>44958</v>
      </c>
    </row>
    <row r="52" spans="1:12" x14ac:dyDescent="0.3">
      <c r="A52" t="s">
        <v>16</v>
      </c>
      <c r="B52" t="s">
        <v>25</v>
      </c>
      <c r="C52" t="s">
        <v>35</v>
      </c>
      <c r="D52" t="s">
        <v>47</v>
      </c>
      <c r="E52" t="s">
        <v>48</v>
      </c>
      <c r="F52" t="s">
        <v>54</v>
      </c>
      <c r="G52">
        <v>282</v>
      </c>
      <c r="H52">
        <v>254.02</v>
      </c>
      <c r="I52">
        <v>71633.64</v>
      </c>
      <c r="J52">
        <v>51420.19</v>
      </c>
      <c r="K52">
        <v>20213.45</v>
      </c>
      <c r="L52" s="2">
        <v>44958</v>
      </c>
    </row>
    <row r="53" spans="1:12" x14ac:dyDescent="0.3">
      <c r="A53" t="s">
        <v>14</v>
      </c>
      <c r="B53" t="s">
        <v>32</v>
      </c>
      <c r="C53" t="s">
        <v>35</v>
      </c>
      <c r="D53" t="s">
        <v>44</v>
      </c>
      <c r="E53" t="s">
        <v>49</v>
      </c>
      <c r="F53" t="s">
        <v>54</v>
      </c>
      <c r="G53">
        <v>141</v>
      </c>
      <c r="H53">
        <v>248.72</v>
      </c>
      <c r="I53">
        <v>35069.519999999997</v>
      </c>
      <c r="J53">
        <v>28834.93</v>
      </c>
      <c r="K53">
        <v>6234.59</v>
      </c>
      <c r="L53" s="2">
        <v>44958</v>
      </c>
    </row>
    <row r="54" spans="1:12" x14ac:dyDescent="0.3">
      <c r="A54" t="s">
        <v>15</v>
      </c>
      <c r="B54" t="s">
        <v>29</v>
      </c>
      <c r="C54" t="s">
        <v>34</v>
      </c>
      <c r="D54" t="s">
        <v>38</v>
      </c>
      <c r="E54" t="s">
        <v>48</v>
      </c>
      <c r="F54" t="s">
        <v>54</v>
      </c>
      <c r="G54">
        <v>351</v>
      </c>
      <c r="H54">
        <v>236.13</v>
      </c>
      <c r="I54">
        <v>82881.63</v>
      </c>
      <c r="J54">
        <v>52096.03</v>
      </c>
      <c r="K54">
        <v>30785.599999999999</v>
      </c>
      <c r="L54" s="2">
        <v>44958</v>
      </c>
    </row>
    <row r="55" spans="1:12" x14ac:dyDescent="0.3">
      <c r="A55" t="s">
        <v>16</v>
      </c>
      <c r="B55" t="s">
        <v>28</v>
      </c>
      <c r="C55" t="s">
        <v>34</v>
      </c>
      <c r="D55" t="s">
        <v>38</v>
      </c>
      <c r="E55" t="s">
        <v>49</v>
      </c>
      <c r="F55" t="s">
        <v>55</v>
      </c>
      <c r="G55">
        <v>215</v>
      </c>
      <c r="H55">
        <v>292.93</v>
      </c>
      <c r="I55">
        <v>62979.95</v>
      </c>
      <c r="J55">
        <v>47880.07</v>
      </c>
      <c r="K55">
        <v>15099.88</v>
      </c>
      <c r="L55" s="2">
        <v>44958</v>
      </c>
    </row>
    <row r="56" spans="1:12" x14ac:dyDescent="0.3">
      <c r="A56" t="s">
        <v>14</v>
      </c>
      <c r="B56" t="s">
        <v>32</v>
      </c>
      <c r="C56" t="s">
        <v>35</v>
      </c>
      <c r="D56" t="s">
        <v>39</v>
      </c>
      <c r="E56" t="s">
        <v>52</v>
      </c>
      <c r="F56" t="s">
        <v>53</v>
      </c>
      <c r="G56">
        <v>302</v>
      </c>
      <c r="H56">
        <v>202.28</v>
      </c>
      <c r="I56">
        <v>61088.56</v>
      </c>
      <c r="J56">
        <v>36681.85</v>
      </c>
      <c r="K56">
        <v>24406.71</v>
      </c>
      <c r="L56" s="2">
        <v>44958</v>
      </c>
    </row>
    <row r="57" spans="1:12" x14ac:dyDescent="0.3">
      <c r="A57" t="s">
        <v>15</v>
      </c>
      <c r="B57" t="s">
        <v>29</v>
      </c>
      <c r="C57" t="s">
        <v>34</v>
      </c>
      <c r="D57" t="s">
        <v>45</v>
      </c>
      <c r="E57" t="s">
        <v>52</v>
      </c>
      <c r="F57" t="s">
        <v>55</v>
      </c>
      <c r="G57">
        <v>73</v>
      </c>
      <c r="H57">
        <v>142.01</v>
      </c>
      <c r="I57">
        <v>10366.73</v>
      </c>
      <c r="J57">
        <v>6250.15</v>
      </c>
      <c r="K57">
        <v>4116.58</v>
      </c>
      <c r="L57" s="2">
        <v>44958</v>
      </c>
    </row>
    <row r="58" spans="1:12" x14ac:dyDescent="0.3">
      <c r="A58" t="s">
        <v>16</v>
      </c>
      <c r="B58" t="s">
        <v>25</v>
      </c>
      <c r="C58" t="s">
        <v>34</v>
      </c>
      <c r="D58" t="s">
        <v>36</v>
      </c>
      <c r="E58" t="s">
        <v>49</v>
      </c>
      <c r="F58" t="s">
        <v>54</v>
      </c>
      <c r="G58">
        <v>447</v>
      </c>
      <c r="H58">
        <v>160.46</v>
      </c>
      <c r="I58">
        <v>71725.62</v>
      </c>
      <c r="J58">
        <v>53637.77</v>
      </c>
      <c r="K58">
        <v>18087.849999999999</v>
      </c>
      <c r="L58" s="2">
        <v>44958</v>
      </c>
    </row>
    <row r="59" spans="1:12" x14ac:dyDescent="0.3">
      <c r="A59" t="s">
        <v>16</v>
      </c>
      <c r="B59" t="s">
        <v>24</v>
      </c>
      <c r="C59" t="s">
        <v>35</v>
      </c>
      <c r="D59" t="s">
        <v>40</v>
      </c>
      <c r="E59" t="s">
        <v>52</v>
      </c>
      <c r="F59" t="s">
        <v>55</v>
      </c>
      <c r="G59">
        <v>359</v>
      </c>
      <c r="H59">
        <v>251.19</v>
      </c>
      <c r="I59">
        <v>90177.21</v>
      </c>
      <c r="J59">
        <v>60262.52</v>
      </c>
      <c r="K59">
        <v>29914.69</v>
      </c>
      <c r="L59" s="2">
        <v>44958</v>
      </c>
    </row>
    <row r="60" spans="1:12" x14ac:dyDescent="0.3">
      <c r="A60" t="s">
        <v>15</v>
      </c>
      <c r="B60" t="s">
        <v>33</v>
      </c>
      <c r="C60" t="s">
        <v>35</v>
      </c>
      <c r="D60" t="s">
        <v>44</v>
      </c>
      <c r="E60" t="s">
        <v>49</v>
      </c>
      <c r="F60" t="s">
        <v>55</v>
      </c>
      <c r="G60">
        <v>127</v>
      </c>
      <c r="H60">
        <v>196.34</v>
      </c>
      <c r="I60">
        <v>24935.18</v>
      </c>
      <c r="J60">
        <v>17587.080000000002</v>
      </c>
      <c r="K60">
        <v>7348.1</v>
      </c>
      <c r="L60" s="2">
        <v>44958</v>
      </c>
    </row>
    <row r="61" spans="1:12" x14ac:dyDescent="0.3">
      <c r="A61" t="s">
        <v>16</v>
      </c>
      <c r="B61" t="s">
        <v>28</v>
      </c>
      <c r="C61" t="s">
        <v>35</v>
      </c>
      <c r="D61" t="s">
        <v>46</v>
      </c>
      <c r="E61" t="s">
        <v>50</v>
      </c>
      <c r="F61" t="s">
        <v>54</v>
      </c>
      <c r="G61">
        <v>85</v>
      </c>
      <c r="H61">
        <v>186.85</v>
      </c>
      <c r="I61">
        <v>15882.25</v>
      </c>
      <c r="J61">
        <v>11766.52</v>
      </c>
      <c r="K61">
        <v>4115.7299999999996</v>
      </c>
      <c r="L61" s="2">
        <v>44958</v>
      </c>
    </row>
    <row r="62" spans="1:12" x14ac:dyDescent="0.3">
      <c r="A62" t="s">
        <v>16</v>
      </c>
      <c r="B62" t="s">
        <v>24</v>
      </c>
      <c r="C62" t="s">
        <v>34</v>
      </c>
      <c r="D62" t="s">
        <v>38</v>
      </c>
      <c r="E62" t="s">
        <v>49</v>
      </c>
      <c r="F62" t="s">
        <v>55</v>
      </c>
      <c r="G62">
        <v>363</v>
      </c>
      <c r="H62">
        <v>127.15</v>
      </c>
      <c r="I62">
        <v>46155.45</v>
      </c>
      <c r="J62">
        <v>33953.629999999997</v>
      </c>
      <c r="K62">
        <v>12201.82</v>
      </c>
      <c r="L62" s="2">
        <v>44958</v>
      </c>
    </row>
    <row r="63" spans="1:12" x14ac:dyDescent="0.3">
      <c r="A63" t="s">
        <v>14</v>
      </c>
      <c r="B63" t="s">
        <v>19</v>
      </c>
      <c r="C63" t="s">
        <v>34</v>
      </c>
      <c r="D63" t="s">
        <v>43</v>
      </c>
      <c r="E63" t="s">
        <v>52</v>
      </c>
      <c r="F63" t="s">
        <v>53</v>
      </c>
      <c r="G63">
        <v>179</v>
      </c>
      <c r="H63">
        <v>103.28</v>
      </c>
      <c r="I63">
        <v>18487.12</v>
      </c>
      <c r="J63">
        <v>15011.74</v>
      </c>
      <c r="K63">
        <v>3475.38</v>
      </c>
      <c r="L63" s="2">
        <v>44958</v>
      </c>
    </row>
    <row r="64" spans="1:12" x14ac:dyDescent="0.3">
      <c r="A64" t="s">
        <v>15</v>
      </c>
      <c r="B64" t="s">
        <v>21</v>
      </c>
      <c r="C64" t="s">
        <v>34</v>
      </c>
      <c r="D64" t="s">
        <v>43</v>
      </c>
      <c r="E64" t="s">
        <v>52</v>
      </c>
      <c r="F64" t="s">
        <v>55</v>
      </c>
      <c r="G64">
        <v>223</v>
      </c>
      <c r="H64">
        <v>56.87</v>
      </c>
      <c r="I64">
        <v>12682.01</v>
      </c>
      <c r="J64">
        <v>8419.25</v>
      </c>
      <c r="K64">
        <v>4262.76</v>
      </c>
      <c r="L64" s="2">
        <v>44958</v>
      </c>
    </row>
    <row r="65" spans="1:12" x14ac:dyDescent="0.3">
      <c r="A65" t="s">
        <v>13</v>
      </c>
      <c r="B65" t="s">
        <v>17</v>
      </c>
      <c r="C65" t="s">
        <v>34</v>
      </c>
      <c r="D65" t="s">
        <v>37</v>
      </c>
      <c r="E65" t="s">
        <v>50</v>
      </c>
      <c r="F65" t="s">
        <v>55</v>
      </c>
      <c r="G65">
        <v>420</v>
      </c>
      <c r="H65">
        <v>230.72</v>
      </c>
      <c r="I65">
        <v>96902.399999999994</v>
      </c>
      <c r="J65">
        <v>66723.789999999994</v>
      </c>
      <c r="K65">
        <v>30178.61</v>
      </c>
      <c r="L65" s="2">
        <v>44958</v>
      </c>
    </row>
    <row r="66" spans="1:12" x14ac:dyDescent="0.3">
      <c r="A66" t="s">
        <v>13</v>
      </c>
      <c r="B66" t="s">
        <v>26</v>
      </c>
      <c r="C66" t="s">
        <v>35</v>
      </c>
      <c r="D66" t="s">
        <v>41</v>
      </c>
      <c r="E66" t="s">
        <v>48</v>
      </c>
      <c r="F66" t="s">
        <v>53</v>
      </c>
      <c r="G66">
        <v>223</v>
      </c>
      <c r="H66">
        <v>33.71</v>
      </c>
      <c r="I66">
        <v>7517.33</v>
      </c>
      <c r="J66">
        <v>6152.14</v>
      </c>
      <c r="K66">
        <v>1365.19</v>
      </c>
      <c r="L66" s="2">
        <v>44958</v>
      </c>
    </row>
    <row r="67" spans="1:12" x14ac:dyDescent="0.3">
      <c r="A67" t="s">
        <v>13</v>
      </c>
      <c r="B67" t="s">
        <v>17</v>
      </c>
      <c r="C67" t="s">
        <v>35</v>
      </c>
      <c r="D67" t="s">
        <v>41</v>
      </c>
      <c r="E67" t="s">
        <v>49</v>
      </c>
      <c r="F67" t="s">
        <v>55</v>
      </c>
      <c r="G67">
        <v>163</v>
      </c>
      <c r="H67">
        <v>294.49</v>
      </c>
      <c r="I67">
        <v>48001.87</v>
      </c>
      <c r="J67">
        <v>34602.239999999998</v>
      </c>
      <c r="K67">
        <v>13399.63</v>
      </c>
      <c r="L67" s="2">
        <v>44986</v>
      </c>
    </row>
    <row r="68" spans="1:12" x14ac:dyDescent="0.3">
      <c r="A68" t="s">
        <v>16</v>
      </c>
      <c r="B68" t="s">
        <v>24</v>
      </c>
      <c r="C68" t="s">
        <v>35</v>
      </c>
      <c r="D68" t="s">
        <v>41</v>
      </c>
      <c r="E68" t="s">
        <v>52</v>
      </c>
      <c r="F68" t="s">
        <v>55</v>
      </c>
      <c r="G68">
        <v>394</v>
      </c>
      <c r="H68">
        <v>106.97</v>
      </c>
      <c r="I68">
        <v>42146.18</v>
      </c>
      <c r="J68">
        <v>26083.25</v>
      </c>
      <c r="K68">
        <v>16062.93</v>
      </c>
      <c r="L68" s="2">
        <v>44986</v>
      </c>
    </row>
    <row r="69" spans="1:12" x14ac:dyDescent="0.3">
      <c r="A69" t="s">
        <v>16</v>
      </c>
      <c r="B69" t="s">
        <v>25</v>
      </c>
      <c r="C69" t="s">
        <v>35</v>
      </c>
      <c r="D69" t="s">
        <v>40</v>
      </c>
      <c r="E69" t="s">
        <v>50</v>
      </c>
      <c r="F69" t="s">
        <v>54</v>
      </c>
      <c r="G69">
        <v>157</v>
      </c>
      <c r="H69">
        <v>130.24</v>
      </c>
      <c r="I69">
        <v>20447.68</v>
      </c>
      <c r="J69">
        <v>12704.91</v>
      </c>
      <c r="K69">
        <v>7742.77</v>
      </c>
      <c r="L69" s="2">
        <v>44986</v>
      </c>
    </row>
    <row r="70" spans="1:12" x14ac:dyDescent="0.3">
      <c r="A70" t="s">
        <v>14</v>
      </c>
      <c r="B70" t="s">
        <v>18</v>
      </c>
      <c r="C70" t="s">
        <v>34</v>
      </c>
      <c r="D70" t="s">
        <v>45</v>
      </c>
      <c r="E70" t="s">
        <v>49</v>
      </c>
      <c r="F70" t="s">
        <v>53</v>
      </c>
      <c r="G70">
        <v>450</v>
      </c>
      <c r="H70">
        <v>136.30000000000001</v>
      </c>
      <c r="I70">
        <v>61335</v>
      </c>
      <c r="J70">
        <v>45652.4</v>
      </c>
      <c r="K70">
        <v>15682.6</v>
      </c>
      <c r="L70" s="2">
        <v>44986</v>
      </c>
    </row>
    <row r="71" spans="1:12" x14ac:dyDescent="0.3">
      <c r="A71" t="s">
        <v>15</v>
      </c>
      <c r="B71" t="s">
        <v>20</v>
      </c>
      <c r="C71" t="s">
        <v>35</v>
      </c>
      <c r="D71" t="s">
        <v>46</v>
      </c>
      <c r="E71" t="s">
        <v>52</v>
      </c>
      <c r="F71" t="s">
        <v>54</v>
      </c>
      <c r="G71">
        <v>470</v>
      </c>
      <c r="H71">
        <v>284.83</v>
      </c>
      <c r="I71">
        <v>133870.1</v>
      </c>
      <c r="J71">
        <v>82742.31</v>
      </c>
      <c r="K71">
        <v>51127.79</v>
      </c>
      <c r="L71" s="2">
        <v>44986</v>
      </c>
    </row>
    <row r="72" spans="1:12" x14ac:dyDescent="0.3">
      <c r="A72" t="s">
        <v>15</v>
      </c>
      <c r="B72" t="s">
        <v>21</v>
      </c>
      <c r="C72" t="s">
        <v>35</v>
      </c>
      <c r="D72" t="s">
        <v>41</v>
      </c>
      <c r="E72" t="s">
        <v>52</v>
      </c>
      <c r="F72" t="s">
        <v>53</v>
      </c>
      <c r="G72">
        <v>493</v>
      </c>
      <c r="H72">
        <v>169.03</v>
      </c>
      <c r="I72">
        <v>83331.789999999994</v>
      </c>
      <c r="J72">
        <v>68316.55</v>
      </c>
      <c r="K72">
        <v>15015.24</v>
      </c>
      <c r="L72" s="2">
        <v>44986</v>
      </c>
    </row>
    <row r="73" spans="1:12" x14ac:dyDescent="0.3">
      <c r="A73" t="s">
        <v>14</v>
      </c>
      <c r="B73" t="s">
        <v>19</v>
      </c>
      <c r="C73" t="s">
        <v>35</v>
      </c>
      <c r="D73" t="s">
        <v>41</v>
      </c>
      <c r="E73" t="s">
        <v>50</v>
      </c>
      <c r="F73" t="s">
        <v>53</v>
      </c>
      <c r="G73">
        <v>426</v>
      </c>
      <c r="H73">
        <v>145.91999999999999</v>
      </c>
      <c r="I73">
        <v>62161.919999999998</v>
      </c>
      <c r="J73">
        <v>43743.65</v>
      </c>
      <c r="K73">
        <v>18418.27</v>
      </c>
      <c r="L73" s="2">
        <v>44986</v>
      </c>
    </row>
    <row r="74" spans="1:12" x14ac:dyDescent="0.3">
      <c r="A74" t="s">
        <v>14</v>
      </c>
      <c r="B74" t="s">
        <v>18</v>
      </c>
      <c r="C74" t="s">
        <v>35</v>
      </c>
      <c r="D74" t="s">
        <v>47</v>
      </c>
      <c r="E74" t="s">
        <v>51</v>
      </c>
      <c r="F74" t="s">
        <v>54</v>
      </c>
      <c r="G74">
        <v>226</v>
      </c>
      <c r="H74">
        <v>214.12</v>
      </c>
      <c r="I74">
        <v>48391.12</v>
      </c>
      <c r="J74">
        <v>29087.46</v>
      </c>
      <c r="K74">
        <v>19303.66</v>
      </c>
      <c r="L74" s="2">
        <v>44986</v>
      </c>
    </row>
    <row r="75" spans="1:12" x14ac:dyDescent="0.3">
      <c r="A75" t="s">
        <v>13</v>
      </c>
      <c r="B75" t="s">
        <v>30</v>
      </c>
      <c r="C75" t="s">
        <v>35</v>
      </c>
      <c r="D75" t="s">
        <v>46</v>
      </c>
      <c r="E75" t="s">
        <v>49</v>
      </c>
      <c r="F75" t="s">
        <v>55</v>
      </c>
      <c r="G75">
        <v>205</v>
      </c>
      <c r="H75">
        <v>22.99</v>
      </c>
      <c r="I75">
        <v>4712.95</v>
      </c>
      <c r="J75">
        <v>3725.48</v>
      </c>
      <c r="K75">
        <v>987.47</v>
      </c>
      <c r="L75" s="2">
        <v>44986</v>
      </c>
    </row>
    <row r="76" spans="1:12" x14ac:dyDescent="0.3">
      <c r="A76" t="s">
        <v>15</v>
      </c>
      <c r="B76" t="s">
        <v>21</v>
      </c>
      <c r="C76" t="s">
        <v>35</v>
      </c>
      <c r="D76" t="s">
        <v>44</v>
      </c>
      <c r="E76" t="s">
        <v>52</v>
      </c>
      <c r="F76" t="s">
        <v>53</v>
      </c>
      <c r="G76">
        <v>63</v>
      </c>
      <c r="H76">
        <v>162.9</v>
      </c>
      <c r="I76">
        <v>10262.700000000001</v>
      </c>
      <c r="J76">
        <v>7780.52</v>
      </c>
      <c r="K76">
        <v>2482.1799999999998</v>
      </c>
      <c r="L76" s="2">
        <v>44986</v>
      </c>
    </row>
    <row r="77" spans="1:12" x14ac:dyDescent="0.3">
      <c r="A77" t="s">
        <v>16</v>
      </c>
      <c r="B77" t="s">
        <v>25</v>
      </c>
      <c r="C77" t="s">
        <v>34</v>
      </c>
      <c r="D77" t="s">
        <v>43</v>
      </c>
      <c r="E77" t="s">
        <v>49</v>
      </c>
      <c r="F77" t="s">
        <v>54</v>
      </c>
      <c r="G77">
        <v>427</v>
      </c>
      <c r="H77">
        <v>70.83</v>
      </c>
      <c r="I77">
        <v>30244.41</v>
      </c>
      <c r="J77">
        <v>21012.51</v>
      </c>
      <c r="K77">
        <v>9231.9</v>
      </c>
      <c r="L77" s="2">
        <v>44986</v>
      </c>
    </row>
    <row r="78" spans="1:12" x14ac:dyDescent="0.3">
      <c r="A78" t="s">
        <v>16</v>
      </c>
      <c r="B78" t="s">
        <v>24</v>
      </c>
      <c r="C78" t="s">
        <v>35</v>
      </c>
      <c r="D78" t="s">
        <v>47</v>
      </c>
      <c r="E78" t="s">
        <v>51</v>
      </c>
      <c r="F78" t="s">
        <v>53</v>
      </c>
      <c r="G78">
        <v>100</v>
      </c>
      <c r="H78">
        <v>89.91</v>
      </c>
      <c r="I78">
        <v>8991</v>
      </c>
      <c r="J78">
        <v>6792.79</v>
      </c>
      <c r="K78">
        <v>2198.21</v>
      </c>
      <c r="L78" s="2">
        <v>44986</v>
      </c>
    </row>
    <row r="79" spans="1:12" x14ac:dyDescent="0.3">
      <c r="A79" t="s">
        <v>15</v>
      </c>
      <c r="B79" t="s">
        <v>31</v>
      </c>
      <c r="C79" t="s">
        <v>34</v>
      </c>
      <c r="D79" t="s">
        <v>45</v>
      </c>
      <c r="E79" t="s">
        <v>51</v>
      </c>
      <c r="F79" t="s">
        <v>55</v>
      </c>
      <c r="G79">
        <v>337</v>
      </c>
      <c r="H79">
        <v>250.1</v>
      </c>
      <c r="I79">
        <v>84283.7</v>
      </c>
      <c r="J79">
        <v>66383.990000000005</v>
      </c>
      <c r="K79">
        <v>17899.71</v>
      </c>
      <c r="L79" s="2">
        <v>44986</v>
      </c>
    </row>
    <row r="80" spans="1:12" x14ac:dyDescent="0.3">
      <c r="A80" t="s">
        <v>16</v>
      </c>
      <c r="B80" t="s">
        <v>24</v>
      </c>
      <c r="C80" t="s">
        <v>34</v>
      </c>
      <c r="D80" t="s">
        <v>38</v>
      </c>
      <c r="E80" t="s">
        <v>50</v>
      </c>
      <c r="F80" t="s">
        <v>54</v>
      </c>
      <c r="G80">
        <v>312</v>
      </c>
      <c r="H80">
        <v>131.72</v>
      </c>
      <c r="I80">
        <v>41096.639999999999</v>
      </c>
      <c r="J80">
        <v>31218.3</v>
      </c>
      <c r="K80">
        <v>9878.34</v>
      </c>
      <c r="L80" s="2">
        <v>44986</v>
      </c>
    </row>
    <row r="81" spans="1:12" x14ac:dyDescent="0.3">
      <c r="A81" t="s">
        <v>16</v>
      </c>
      <c r="B81" t="s">
        <v>22</v>
      </c>
      <c r="C81" t="s">
        <v>34</v>
      </c>
      <c r="D81" t="s">
        <v>45</v>
      </c>
      <c r="E81" t="s">
        <v>48</v>
      </c>
      <c r="F81" t="s">
        <v>53</v>
      </c>
      <c r="G81">
        <v>225</v>
      </c>
      <c r="H81">
        <v>153.32</v>
      </c>
      <c r="I81">
        <v>34497</v>
      </c>
      <c r="J81">
        <v>27841.23</v>
      </c>
      <c r="K81">
        <v>6655.77</v>
      </c>
      <c r="L81" s="2">
        <v>44986</v>
      </c>
    </row>
    <row r="82" spans="1:12" x14ac:dyDescent="0.3">
      <c r="A82" t="s">
        <v>13</v>
      </c>
      <c r="B82" t="s">
        <v>30</v>
      </c>
      <c r="C82" t="s">
        <v>34</v>
      </c>
      <c r="D82" t="s">
        <v>36</v>
      </c>
      <c r="E82" t="s">
        <v>50</v>
      </c>
      <c r="F82" t="s">
        <v>55</v>
      </c>
      <c r="G82">
        <v>486</v>
      </c>
      <c r="H82">
        <v>20.9</v>
      </c>
      <c r="I82">
        <v>10157.4</v>
      </c>
      <c r="J82">
        <v>7312.77</v>
      </c>
      <c r="K82">
        <v>2844.63</v>
      </c>
      <c r="L82" s="2">
        <v>44986</v>
      </c>
    </row>
    <row r="83" spans="1:12" x14ac:dyDescent="0.3">
      <c r="A83" t="s">
        <v>16</v>
      </c>
      <c r="B83" t="s">
        <v>25</v>
      </c>
      <c r="C83" t="s">
        <v>35</v>
      </c>
      <c r="D83" t="s">
        <v>47</v>
      </c>
      <c r="E83" t="s">
        <v>51</v>
      </c>
      <c r="F83" t="s">
        <v>55</v>
      </c>
      <c r="G83">
        <v>163</v>
      </c>
      <c r="H83">
        <v>154.47</v>
      </c>
      <c r="I83">
        <v>25178.61</v>
      </c>
      <c r="J83">
        <v>18104.75</v>
      </c>
      <c r="K83">
        <v>7073.86</v>
      </c>
      <c r="L83" s="2">
        <v>44986</v>
      </c>
    </row>
    <row r="84" spans="1:12" x14ac:dyDescent="0.3">
      <c r="A84" t="s">
        <v>13</v>
      </c>
      <c r="B84" t="s">
        <v>27</v>
      </c>
      <c r="C84" t="s">
        <v>35</v>
      </c>
      <c r="D84" t="s">
        <v>47</v>
      </c>
      <c r="E84" t="s">
        <v>52</v>
      </c>
      <c r="F84" t="s">
        <v>55</v>
      </c>
      <c r="G84">
        <v>200</v>
      </c>
      <c r="H84">
        <v>157.58000000000001</v>
      </c>
      <c r="I84">
        <v>31516</v>
      </c>
      <c r="J84">
        <v>21819.16</v>
      </c>
      <c r="K84">
        <v>9696.84</v>
      </c>
      <c r="L84" s="2">
        <v>44986</v>
      </c>
    </row>
    <row r="85" spans="1:12" x14ac:dyDescent="0.3">
      <c r="A85" t="s">
        <v>16</v>
      </c>
      <c r="B85" t="s">
        <v>22</v>
      </c>
      <c r="C85" t="s">
        <v>34</v>
      </c>
      <c r="D85" t="s">
        <v>43</v>
      </c>
      <c r="E85" t="s">
        <v>48</v>
      </c>
      <c r="F85" t="s">
        <v>55</v>
      </c>
      <c r="G85">
        <v>126</v>
      </c>
      <c r="H85">
        <v>271.70999999999998</v>
      </c>
      <c r="I85">
        <v>34235.46</v>
      </c>
      <c r="J85">
        <v>21109.96</v>
      </c>
      <c r="K85">
        <v>13125.5</v>
      </c>
      <c r="L85" s="2">
        <v>44986</v>
      </c>
    </row>
    <row r="86" spans="1:12" x14ac:dyDescent="0.3">
      <c r="A86" t="s">
        <v>16</v>
      </c>
      <c r="B86" t="s">
        <v>25</v>
      </c>
      <c r="C86" t="s">
        <v>35</v>
      </c>
      <c r="D86" t="s">
        <v>39</v>
      </c>
      <c r="E86" t="s">
        <v>49</v>
      </c>
      <c r="F86" t="s">
        <v>55</v>
      </c>
      <c r="G86">
        <v>105</v>
      </c>
      <c r="H86">
        <v>198.78</v>
      </c>
      <c r="I86">
        <v>20871.900000000001</v>
      </c>
      <c r="J86">
        <v>15886.6</v>
      </c>
      <c r="K86">
        <v>4985.3</v>
      </c>
      <c r="L86" s="2">
        <v>45017</v>
      </c>
    </row>
    <row r="87" spans="1:12" x14ac:dyDescent="0.3">
      <c r="A87" t="s">
        <v>15</v>
      </c>
      <c r="B87" t="s">
        <v>20</v>
      </c>
      <c r="C87" t="s">
        <v>34</v>
      </c>
      <c r="D87" t="s">
        <v>45</v>
      </c>
      <c r="E87" t="s">
        <v>49</v>
      </c>
      <c r="F87" t="s">
        <v>55</v>
      </c>
      <c r="G87">
        <v>268</v>
      </c>
      <c r="H87">
        <v>25.03</v>
      </c>
      <c r="I87">
        <v>6708.04</v>
      </c>
      <c r="J87">
        <v>4589.3100000000004</v>
      </c>
      <c r="K87">
        <v>2118.73</v>
      </c>
      <c r="L87" s="2">
        <v>45017</v>
      </c>
    </row>
    <row r="88" spans="1:12" x14ac:dyDescent="0.3">
      <c r="A88" t="s">
        <v>14</v>
      </c>
      <c r="B88" t="s">
        <v>23</v>
      </c>
      <c r="C88" t="s">
        <v>35</v>
      </c>
      <c r="D88" t="s">
        <v>44</v>
      </c>
      <c r="E88" t="s">
        <v>48</v>
      </c>
      <c r="F88" t="s">
        <v>53</v>
      </c>
      <c r="G88">
        <v>429</v>
      </c>
      <c r="H88">
        <v>11.52</v>
      </c>
      <c r="I88">
        <v>4942.08</v>
      </c>
      <c r="J88">
        <v>3905.47</v>
      </c>
      <c r="K88">
        <v>1036.6099999999999</v>
      </c>
      <c r="L88" s="2">
        <v>45017</v>
      </c>
    </row>
    <row r="89" spans="1:12" x14ac:dyDescent="0.3">
      <c r="A89" t="s">
        <v>15</v>
      </c>
      <c r="B89" t="s">
        <v>20</v>
      </c>
      <c r="C89" t="s">
        <v>35</v>
      </c>
      <c r="D89" t="s">
        <v>47</v>
      </c>
      <c r="E89" t="s">
        <v>50</v>
      </c>
      <c r="F89" t="s">
        <v>55</v>
      </c>
      <c r="G89">
        <v>280</v>
      </c>
      <c r="H89">
        <v>83.65</v>
      </c>
      <c r="I89">
        <v>23422</v>
      </c>
      <c r="J89">
        <v>14235.4</v>
      </c>
      <c r="K89">
        <v>9186.6</v>
      </c>
      <c r="L89" s="2">
        <v>45017</v>
      </c>
    </row>
    <row r="90" spans="1:12" x14ac:dyDescent="0.3">
      <c r="A90" t="s">
        <v>13</v>
      </c>
      <c r="B90" t="s">
        <v>26</v>
      </c>
      <c r="C90" t="s">
        <v>34</v>
      </c>
      <c r="D90" t="s">
        <v>36</v>
      </c>
      <c r="E90" t="s">
        <v>50</v>
      </c>
      <c r="F90" t="s">
        <v>53</v>
      </c>
      <c r="G90">
        <v>374</v>
      </c>
      <c r="H90">
        <v>230.95</v>
      </c>
      <c r="I90">
        <v>86375.3</v>
      </c>
      <c r="J90">
        <v>69826.87</v>
      </c>
      <c r="K90">
        <v>16548.43</v>
      </c>
      <c r="L90" s="2">
        <v>45017</v>
      </c>
    </row>
    <row r="91" spans="1:12" x14ac:dyDescent="0.3">
      <c r="A91" t="s">
        <v>16</v>
      </c>
      <c r="B91" t="s">
        <v>24</v>
      </c>
      <c r="C91" t="s">
        <v>35</v>
      </c>
      <c r="D91" t="s">
        <v>46</v>
      </c>
      <c r="E91" t="s">
        <v>51</v>
      </c>
      <c r="F91" t="s">
        <v>54</v>
      </c>
      <c r="G91">
        <v>176</v>
      </c>
      <c r="H91">
        <v>200.47</v>
      </c>
      <c r="I91">
        <v>35282.720000000001</v>
      </c>
      <c r="J91">
        <v>28421.14</v>
      </c>
      <c r="K91">
        <v>6861.58</v>
      </c>
      <c r="L91" s="2">
        <v>45017</v>
      </c>
    </row>
    <row r="92" spans="1:12" x14ac:dyDescent="0.3">
      <c r="A92" t="s">
        <v>14</v>
      </c>
      <c r="B92" t="s">
        <v>32</v>
      </c>
      <c r="C92" t="s">
        <v>35</v>
      </c>
      <c r="D92" t="s">
        <v>42</v>
      </c>
      <c r="E92" t="s">
        <v>50</v>
      </c>
      <c r="F92" t="s">
        <v>54</v>
      </c>
      <c r="G92">
        <v>291</v>
      </c>
      <c r="H92">
        <v>174.7</v>
      </c>
      <c r="I92">
        <v>50837.7</v>
      </c>
      <c r="J92">
        <v>42137.95</v>
      </c>
      <c r="K92">
        <v>8699.75</v>
      </c>
      <c r="L92" s="2">
        <v>45017</v>
      </c>
    </row>
    <row r="93" spans="1:12" x14ac:dyDescent="0.3">
      <c r="A93" t="s">
        <v>16</v>
      </c>
      <c r="B93" t="s">
        <v>24</v>
      </c>
      <c r="C93" t="s">
        <v>34</v>
      </c>
      <c r="D93" t="s">
        <v>36</v>
      </c>
      <c r="E93" t="s">
        <v>49</v>
      </c>
      <c r="F93" t="s">
        <v>53</v>
      </c>
      <c r="G93">
        <v>248</v>
      </c>
      <c r="H93">
        <v>164.36</v>
      </c>
      <c r="I93">
        <v>40761.279999999999</v>
      </c>
      <c r="J93">
        <v>30376.65</v>
      </c>
      <c r="K93">
        <v>10384.629999999999</v>
      </c>
      <c r="L93" s="2">
        <v>45017</v>
      </c>
    </row>
    <row r="94" spans="1:12" x14ac:dyDescent="0.3">
      <c r="A94" t="s">
        <v>15</v>
      </c>
      <c r="B94" t="s">
        <v>20</v>
      </c>
      <c r="C94" t="s">
        <v>35</v>
      </c>
      <c r="D94" t="s">
        <v>46</v>
      </c>
      <c r="E94" t="s">
        <v>51</v>
      </c>
      <c r="F94" t="s">
        <v>53</v>
      </c>
      <c r="G94">
        <v>70</v>
      </c>
      <c r="H94">
        <v>39.270000000000003</v>
      </c>
      <c r="I94">
        <v>2748.9</v>
      </c>
      <c r="J94">
        <v>2246.5</v>
      </c>
      <c r="K94">
        <v>502.4</v>
      </c>
      <c r="L94" s="2">
        <v>45017</v>
      </c>
    </row>
    <row r="95" spans="1:12" x14ac:dyDescent="0.3">
      <c r="A95" t="s">
        <v>13</v>
      </c>
      <c r="B95" t="s">
        <v>17</v>
      </c>
      <c r="C95" t="s">
        <v>35</v>
      </c>
      <c r="D95" t="s">
        <v>42</v>
      </c>
      <c r="E95" t="s">
        <v>52</v>
      </c>
      <c r="F95" t="s">
        <v>54</v>
      </c>
      <c r="G95">
        <v>451</v>
      </c>
      <c r="H95">
        <v>271.17</v>
      </c>
      <c r="I95">
        <v>122297.67</v>
      </c>
      <c r="J95">
        <v>94512.31</v>
      </c>
      <c r="K95">
        <v>27785.360000000001</v>
      </c>
      <c r="L95" s="2">
        <v>45017</v>
      </c>
    </row>
    <row r="96" spans="1:12" x14ac:dyDescent="0.3">
      <c r="A96" t="s">
        <v>13</v>
      </c>
      <c r="B96" t="s">
        <v>27</v>
      </c>
      <c r="C96" t="s">
        <v>35</v>
      </c>
      <c r="D96" t="s">
        <v>46</v>
      </c>
      <c r="E96" t="s">
        <v>49</v>
      </c>
      <c r="F96" t="s">
        <v>54</v>
      </c>
      <c r="G96">
        <v>230</v>
      </c>
      <c r="H96">
        <v>190.93</v>
      </c>
      <c r="I96">
        <v>43913.9</v>
      </c>
      <c r="J96">
        <v>32134.45</v>
      </c>
      <c r="K96">
        <v>11779.45</v>
      </c>
      <c r="L96" s="2">
        <v>45017</v>
      </c>
    </row>
    <row r="97" spans="1:12" x14ac:dyDescent="0.3">
      <c r="A97" t="s">
        <v>13</v>
      </c>
      <c r="B97" t="s">
        <v>30</v>
      </c>
      <c r="C97" t="s">
        <v>34</v>
      </c>
      <c r="D97" t="s">
        <v>38</v>
      </c>
      <c r="E97" t="s">
        <v>51</v>
      </c>
      <c r="F97" t="s">
        <v>53</v>
      </c>
      <c r="G97">
        <v>210</v>
      </c>
      <c r="H97">
        <v>295.36</v>
      </c>
      <c r="I97">
        <v>62025.599999999999</v>
      </c>
      <c r="J97">
        <v>41687.49</v>
      </c>
      <c r="K97">
        <v>20338.11</v>
      </c>
      <c r="L97" s="2">
        <v>45017</v>
      </c>
    </row>
    <row r="98" spans="1:12" x14ac:dyDescent="0.3">
      <c r="A98" t="s">
        <v>16</v>
      </c>
      <c r="B98" t="s">
        <v>22</v>
      </c>
      <c r="C98" t="s">
        <v>34</v>
      </c>
      <c r="D98" t="s">
        <v>45</v>
      </c>
      <c r="E98" t="s">
        <v>50</v>
      </c>
      <c r="F98" t="s">
        <v>55</v>
      </c>
      <c r="G98">
        <v>98</v>
      </c>
      <c r="H98">
        <v>262.52</v>
      </c>
      <c r="I98">
        <v>25726.959999999999</v>
      </c>
      <c r="J98">
        <v>20468.28</v>
      </c>
      <c r="K98">
        <v>5258.68</v>
      </c>
      <c r="L98" s="2">
        <v>45017</v>
      </c>
    </row>
    <row r="99" spans="1:12" x14ac:dyDescent="0.3">
      <c r="A99" t="s">
        <v>15</v>
      </c>
      <c r="B99" t="s">
        <v>31</v>
      </c>
      <c r="C99" t="s">
        <v>35</v>
      </c>
      <c r="D99" t="s">
        <v>40</v>
      </c>
      <c r="E99" t="s">
        <v>49</v>
      </c>
      <c r="F99" t="s">
        <v>53</v>
      </c>
      <c r="G99">
        <v>456</v>
      </c>
      <c r="H99">
        <v>195.84</v>
      </c>
      <c r="I99">
        <v>89303.039999999994</v>
      </c>
      <c r="J99">
        <v>58405.04</v>
      </c>
      <c r="K99">
        <v>30898</v>
      </c>
      <c r="L99" s="2">
        <v>45017</v>
      </c>
    </row>
    <row r="100" spans="1:12" x14ac:dyDescent="0.3">
      <c r="A100" t="s">
        <v>14</v>
      </c>
      <c r="B100" t="s">
        <v>32</v>
      </c>
      <c r="C100" t="s">
        <v>35</v>
      </c>
      <c r="D100" t="s">
        <v>42</v>
      </c>
      <c r="E100" t="s">
        <v>51</v>
      </c>
      <c r="F100" t="s">
        <v>55</v>
      </c>
      <c r="G100">
        <v>63</v>
      </c>
      <c r="H100">
        <v>290.70999999999998</v>
      </c>
      <c r="I100">
        <v>18314.73</v>
      </c>
      <c r="J100">
        <v>11393.63</v>
      </c>
      <c r="K100">
        <v>6921.1</v>
      </c>
      <c r="L100" s="2">
        <v>45017</v>
      </c>
    </row>
    <row r="101" spans="1:12" x14ac:dyDescent="0.3">
      <c r="A101" t="s">
        <v>15</v>
      </c>
      <c r="B101" t="s">
        <v>31</v>
      </c>
      <c r="C101" t="s">
        <v>34</v>
      </c>
      <c r="D101" t="s">
        <v>43</v>
      </c>
      <c r="E101" t="s">
        <v>48</v>
      </c>
      <c r="F101" t="s">
        <v>53</v>
      </c>
      <c r="G101">
        <v>407</v>
      </c>
      <c r="H101">
        <v>73.349999999999994</v>
      </c>
      <c r="I101">
        <v>29853.45</v>
      </c>
      <c r="J101">
        <v>18809.52</v>
      </c>
      <c r="K101">
        <v>11043.93</v>
      </c>
      <c r="L101" s="2">
        <v>45017</v>
      </c>
    </row>
    <row r="102" spans="1:12" x14ac:dyDescent="0.3">
      <c r="A102" t="s">
        <v>13</v>
      </c>
      <c r="B102" t="s">
        <v>17</v>
      </c>
      <c r="C102" t="s">
        <v>34</v>
      </c>
      <c r="D102" t="s">
        <v>45</v>
      </c>
      <c r="E102" t="s">
        <v>48</v>
      </c>
      <c r="F102" t="s">
        <v>54</v>
      </c>
      <c r="G102">
        <v>365</v>
      </c>
      <c r="H102">
        <v>48.71</v>
      </c>
      <c r="I102">
        <v>17779.150000000001</v>
      </c>
      <c r="J102">
        <v>11025.75</v>
      </c>
      <c r="K102">
        <v>6753.4</v>
      </c>
      <c r="L102" s="2">
        <v>45017</v>
      </c>
    </row>
    <row r="103" spans="1:12" x14ac:dyDescent="0.3">
      <c r="A103" t="s">
        <v>13</v>
      </c>
      <c r="B103" t="s">
        <v>17</v>
      </c>
      <c r="C103" t="s">
        <v>34</v>
      </c>
      <c r="D103" t="s">
        <v>38</v>
      </c>
      <c r="E103" t="s">
        <v>49</v>
      </c>
      <c r="F103" t="s">
        <v>54</v>
      </c>
      <c r="G103">
        <v>321</v>
      </c>
      <c r="H103">
        <v>264.23</v>
      </c>
      <c r="I103">
        <v>84817.83</v>
      </c>
      <c r="J103">
        <v>62586.82</v>
      </c>
      <c r="K103">
        <v>22231.01</v>
      </c>
      <c r="L103" s="2">
        <v>45017</v>
      </c>
    </row>
    <row r="104" spans="1:12" x14ac:dyDescent="0.3">
      <c r="A104" t="s">
        <v>13</v>
      </c>
      <c r="B104" t="s">
        <v>26</v>
      </c>
      <c r="C104" t="s">
        <v>35</v>
      </c>
      <c r="D104" t="s">
        <v>40</v>
      </c>
      <c r="E104" t="s">
        <v>52</v>
      </c>
      <c r="F104" t="s">
        <v>53</v>
      </c>
      <c r="G104">
        <v>472</v>
      </c>
      <c r="H104">
        <v>69.650000000000006</v>
      </c>
      <c r="I104">
        <v>32874.800000000003</v>
      </c>
      <c r="J104">
        <v>20722.52</v>
      </c>
      <c r="K104">
        <v>12152.28</v>
      </c>
      <c r="L104" s="2">
        <v>45017</v>
      </c>
    </row>
    <row r="105" spans="1:12" x14ac:dyDescent="0.3">
      <c r="A105" t="s">
        <v>15</v>
      </c>
      <c r="B105" t="s">
        <v>21</v>
      </c>
      <c r="C105" t="s">
        <v>34</v>
      </c>
      <c r="D105" t="s">
        <v>45</v>
      </c>
      <c r="E105" t="s">
        <v>51</v>
      </c>
      <c r="F105" t="s">
        <v>55</v>
      </c>
      <c r="G105">
        <v>335</v>
      </c>
      <c r="H105">
        <v>226.59</v>
      </c>
      <c r="I105">
        <v>75907.649999999994</v>
      </c>
      <c r="J105">
        <v>59122.400000000001</v>
      </c>
      <c r="K105">
        <v>16785.25</v>
      </c>
      <c r="L105" s="2">
        <v>45017</v>
      </c>
    </row>
    <row r="106" spans="1:12" x14ac:dyDescent="0.3">
      <c r="A106" t="s">
        <v>13</v>
      </c>
      <c r="B106" t="s">
        <v>26</v>
      </c>
      <c r="C106" t="s">
        <v>35</v>
      </c>
      <c r="D106" t="s">
        <v>44</v>
      </c>
      <c r="E106" t="s">
        <v>52</v>
      </c>
      <c r="F106" t="s">
        <v>55</v>
      </c>
      <c r="G106">
        <v>163</v>
      </c>
      <c r="H106">
        <v>131.44999999999999</v>
      </c>
      <c r="I106">
        <v>21426.35</v>
      </c>
      <c r="J106">
        <v>14249.37</v>
      </c>
      <c r="K106">
        <v>7176.98</v>
      </c>
      <c r="L106" s="2">
        <v>45017</v>
      </c>
    </row>
    <row r="107" spans="1:12" x14ac:dyDescent="0.3">
      <c r="A107" t="s">
        <v>13</v>
      </c>
      <c r="B107" t="s">
        <v>27</v>
      </c>
      <c r="C107" t="s">
        <v>34</v>
      </c>
      <c r="D107" t="s">
        <v>43</v>
      </c>
      <c r="E107" t="s">
        <v>52</v>
      </c>
      <c r="F107" t="s">
        <v>53</v>
      </c>
      <c r="G107">
        <v>459</v>
      </c>
      <c r="H107">
        <v>167.63</v>
      </c>
      <c r="I107">
        <v>76942.17</v>
      </c>
      <c r="J107">
        <v>63601.78</v>
      </c>
      <c r="K107">
        <v>13340.39</v>
      </c>
      <c r="L107" s="2">
        <v>45017</v>
      </c>
    </row>
    <row r="108" spans="1:12" x14ac:dyDescent="0.3">
      <c r="A108" t="s">
        <v>15</v>
      </c>
      <c r="B108" t="s">
        <v>31</v>
      </c>
      <c r="C108" t="s">
        <v>34</v>
      </c>
      <c r="D108" t="s">
        <v>36</v>
      </c>
      <c r="E108" t="s">
        <v>49</v>
      </c>
      <c r="F108" t="s">
        <v>54</v>
      </c>
      <c r="G108">
        <v>351</v>
      </c>
      <c r="H108">
        <v>250.46</v>
      </c>
      <c r="I108">
        <v>87911.46</v>
      </c>
      <c r="J108">
        <v>65254.07</v>
      </c>
      <c r="K108">
        <v>22657.39</v>
      </c>
      <c r="L108" s="2">
        <v>45017</v>
      </c>
    </row>
    <row r="109" spans="1:12" x14ac:dyDescent="0.3">
      <c r="A109" t="s">
        <v>14</v>
      </c>
      <c r="B109" t="s">
        <v>32</v>
      </c>
      <c r="C109" t="s">
        <v>34</v>
      </c>
      <c r="D109" t="s">
        <v>45</v>
      </c>
      <c r="E109" t="s">
        <v>49</v>
      </c>
      <c r="F109" t="s">
        <v>54</v>
      </c>
      <c r="G109">
        <v>465</v>
      </c>
      <c r="H109">
        <v>170.85</v>
      </c>
      <c r="I109">
        <v>79445.25</v>
      </c>
      <c r="J109">
        <v>60320.61</v>
      </c>
      <c r="K109">
        <v>19124.64</v>
      </c>
      <c r="L109" s="2">
        <v>45017</v>
      </c>
    </row>
    <row r="110" spans="1:12" x14ac:dyDescent="0.3">
      <c r="A110" t="s">
        <v>16</v>
      </c>
      <c r="B110" t="s">
        <v>28</v>
      </c>
      <c r="C110" t="s">
        <v>35</v>
      </c>
      <c r="D110" t="s">
        <v>41</v>
      </c>
      <c r="E110" t="s">
        <v>49</v>
      </c>
      <c r="F110" t="s">
        <v>55</v>
      </c>
      <c r="G110">
        <v>333</v>
      </c>
      <c r="H110">
        <v>280.99</v>
      </c>
      <c r="I110">
        <v>93569.67</v>
      </c>
      <c r="J110">
        <v>64367.11</v>
      </c>
      <c r="K110">
        <v>29202.560000000001</v>
      </c>
      <c r="L110" s="2">
        <v>45017</v>
      </c>
    </row>
    <row r="111" spans="1:12" x14ac:dyDescent="0.3">
      <c r="A111" t="s">
        <v>16</v>
      </c>
      <c r="B111" t="s">
        <v>25</v>
      </c>
      <c r="C111" t="s">
        <v>34</v>
      </c>
      <c r="D111" t="s">
        <v>43</v>
      </c>
      <c r="E111" t="s">
        <v>52</v>
      </c>
      <c r="F111" t="s">
        <v>54</v>
      </c>
      <c r="G111">
        <v>294</v>
      </c>
      <c r="H111">
        <v>211.17</v>
      </c>
      <c r="I111">
        <v>62083.98</v>
      </c>
      <c r="J111">
        <v>40676.949999999997</v>
      </c>
      <c r="K111">
        <v>21407.03</v>
      </c>
      <c r="L111" s="2">
        <v>45017</v>
      </c>
    </row>
    <row r="112" spans="1:12" x14ac:dyDescent="0.3">
      <c r="A112" t="s">
        <v>14</v>
      </c>
      <c r="B112" t="s">
        <v>32</v>
      </c>
      <c r="C112" t="s">
        <v>34</v>
      </c>
      <c r="D112" t="s">
        <v>43</v>
      </c>
      <c r="E112" t="s">
        <v>52</v>
      </c>
      <c r="F112" t="s">
        <v>54</v>
      </c>
      <c r="G112">
        <v>201</v>
      </c>
      <c r="H112">
        <v>215.37</v>
      </c>
      <c r="I112">
        <v>43289.37</v>
      </c>
      <c r="J112">
        <v>26702.51</v>
      </c>
      <c r="K112">
        <v>16586.86</v>
      </c>
      <c r="L112" s="2">
        <v>45017</v>
      </c>
    </row>
    <row r="113" spans="1:12" x14ac:dyDescent="0.3">
      <c r="A113" t="s">
        <v>16</v>
      </c>
      <c r="B113" t="s">
        <v>25</v>
      </c>
      <c r="C113" t="s">
        <v>35</v>
      </c>
      <c r="D113" t="s">
        <v>46</v>
      </c>
      <c r="E113" t="s">
        <v>49</v>
      </c>
      <c r="F113" t="s">
        <v>53</v>
      </c>
      <c r="G113">
        <v>266</v>
      </c>
      <c r="H113">
        <v>103.02</v>
      </c>
      <c r="I113">
        <v>27403.32</v>
      </c>
      <c r="J113">
        <v>21404.89</v>
      </c>
      <c r="K113">
        <v>5998.43</v>
      </c>
      <c r="L113" s="2">
        <v>45017</v>
      </c>
    </row>
    <row r="114" spans="1:12" x14ac:dyDescent="0.3">
      <c r="A114" t="s">
        <v>16</v>
      </c>
      <c r="B114" t="s">
        <v>24</v>
      </c>
      <c r="C114" t="s">
        <v>34</v>
      </c>
      <c r="D114" t="s">
        <v>38</v>
      </c>
      <c r="E114" t="s">
        <v>52</v>
      </c>
      <c r="F114" t="s">
        <v>54</v>
      </c>
      <c r="G114">
        <v>155</v>
      </c>
      <c r="H114">
        <v>127.13</v>
      </c>
      <c r="I114">
        <v>19705.150000000001</v>
      </c>
      <c r="J114">
        <v>12205.44</v>
      </c>
      <c r="K114">
        <v>7499.71</v>
      </c>
      <c r="L114" s="2">
        <v>45017</v>
      </c>
    </row>
    <row r="115" spans="1:12" x14ac:dyDescent="0.3">
      <c r="A115" t="s">
        <v>15</v>
      </c>
      <c r="B115" t="s">
        <v>33</v>
      </c>
      <c r="C115" t="s">
        <v>34</v>
      </c>
      <c r="D115" t="s">
        <v>36</v>
      </c>
      <c r="E115" t="s">
        <v>51</v>
      </c>
      <c r="F115" t="s">
        <v>53</v>
      </c>
      <c r="G115">
        <v>16</v>
      </c>
      <c r="H115">
        <v>162.4</v>
      </c>
      <c r="I115">
        <v>2598.4</v>
      </c>
      <c r="J115">
        <v>1871.91</v>
      </c>
      <c r="K115">
        <v>726.49</v>
      </c>
      <c r="L115" s="2">
        <v>45017</v>
      </c>
    </row>
    <row r="116" spans="1:12" x14ac:dyDescent="0.3">
      <c r="A116" t="s">
        <v>13</v>
      </c>
      <c r="B116" t="s">
        <v>26</v>
      </c>
      <c r="C116" t="s">
        <v>35</v>
      </c>
      <c r="D116" t="s">
        <v>42</v>
      </c>
      <c r="E116" t="s">
        <v>52</v>
      </c>
      <c r="F116" t="s">
        <v>54</v>
      </c>
      <c r="G116">
        <v>45</v>
      </c>
      <c r="H116">
        <v>113.54</v>
      </c>
      <c r="I116">
        <v>5109.3</v>
      </c>
      <c r="J116">
        <v>4248.63</v>
      </c>
      <c r="K116">
        <v>860.67</v>
      </c>
      <c r="L116" s="2">
        <v>45017</v>
      </c>
    </row>
    <row r="117" spans="1:12" x14ac:dyDescent="0.3">
      <c r="A117" t="s">
        <v>16</v>
      </c>
      <c r="B117" t="s">
        <v>25</v>
      </c>
      <c r="C117" t="s">
        <v>34</v>
      </c>
      <c r="D117" t="s">
        <v>43</v>
      </c>
      <c r="E117" t="s">
        <v>52</v>
      </c>
      <c r="F117" t="s">
        <v>53</v>
      </c>
      <c r="G117">
        <v>153</v>
      </c>
      <c r="H117">
        <v>129.41</v>
      </c>
      <c r="I117">
        <v>19799.73</v>
      </c>
      <c r="J117">
        <v>15102.11</v>
      </c>
      <c r="K117">
        <v>4697.62</v>
      </c>
      <c r="L117" s="2">
        <v>45017</v>
      </c>
    </row>
    <row r="118" spans="1:12" x14ac:dyDescent="0.3">
      <c r="A118" t="s">
        <v>13</v>
      </c>
      <c r="B118" t="s">
        <v>17</v>
      </c>
      <c r="C118" t="s">
        <v>34</v>
      </c>
      <c r="D118" t="s">
        <v>38</v>
      </c>
      <c r="E118" t="s">
        <v>49</v>
      </c>
      <c r="F118" t="s">
        <v>55</v>
      </c>
      <c r="G118">
        <v>276</v>
      </c>
      <c r="H118">
        <v>69.09</v>
      </c>
      <c r="I118">
        <v>19068.84</v>
      </c>
      <c r="J118">
        <v>13936.13</v>
      </c>
      <c r="K118">
        <v>5132.71</v>
      </c>
      <c r="L118" s="2">
        <v>45017</v>
      </c>
    </row>
    <row r="119" spans="1:12" x14ac:dyDescent="0.3">
      <c r="A119" t="s">
        <v>14</v>
      </c>
      <c r="B119" t="s">
        <v>32</v>
      </c>
      <c r="C119" t="s">
        <v>34</v>
      </c>
      <c r="D119" t="s">
        <v>37</v>
      </c>
      <c r="E119" t="s">
        <v>51</v>
      </c>
      <c r="F119" t="s">
        <v>55</v>
      </c>
      <c r="G119">
        <v>412</v>
      </c>
      <c r="H119">
        <v>122.68</v>
      </c>
      <c r="I119">
        <v>50544.160000000003</v>
      </c>
      <c r="J119">
        <v>35996.21</v>
      </c>
      <c r="K119">
        <v>14547.95</v>
      </c>
      <c r="L119" s="2">
        <v>45017</v>
      </c>
    </row>
    <row r="120" spans="1:12" x14ac:dyDescent="0.3">
      <c r="A120" t="s">
        <v>15</v>
      </c>
      <c r="B120" t="s">
        <v>20</v>
      </c>
      <c r="C120" t="s">
        <v>35</v>
      </c>
      <c r="D120" t="s">
        <v>47</v>
      </c>
      <c r="E120" t="s">
        <v>50</v>
      </c>
      <c r="F120" t="s">
        <v>53</v>
      </c>
      <c r="G120">
        <v>350</v>
      </c>
      <c r="H120">
        <v>186.47</v>
      </c>
      <c r="I120">
        <v>65264.5</v>
      </c>
      <c r="J120">
        <v>44861.29</v>
      </c>
      <c r="K120">
        <v>20403.21</v>
      </c>
      <c r="L120" s="2">
        <v>45017</v>
      </c>
    </row>
    <row r="121" spans="1:12" x14ac:dyDescent="0.3">
      <c r="A121" t="s">
        <v>15</v>
      </c>
      <c r="B121" t="s">
        <v>29</v>
      </c>
      <c r="C121" t="s">
        <v>34</v>
      </c>
      <c r="D121" t="s">
        <v>37</v>
      </c>
      <c r="E121" t="s">
        <v>51</v>
      </c>
      <c r="F121" t="s">
        <v>54</v>
      </c>
      <c r="G121">
        <v>19</v>
      </c>
      <c r="H121">
        <v>149.74</v>
      </c>
      <c r="I121">
        <v>2845.06</v>
      </c>
      <c r="J121">
        <v>1964.31</v>
      </c>
      <c r="K121">
        <v>880.75</v>
      </c>
      <c r="L121" s="2">
        <v>45047</v>
      </c>
    </row>
    <row r="122" spans="1:12" x14ac:dyDescent="0.3">
      <c r="A122" t="s">
        <v>13</v>
      </c>
      <c r="B122" t="s">
        <v>26</v>
      </c>
      <c r="C122" t="s">
        <v>35</v>
      </c>
      <c r="D122" t="s">
        <v>41</v>
      </c>
      <c r="E122" t="s">
        <v>52</v>
      </c>
      <c r="F122" t="s">
        <v>53</v>
      </c>
      <c r="G122">
        <v>62</v>
      </c>
      <c r="H122">
        <v>283.98</v>
      </c>
      <c r="I122">
        <v>17606.759999999998</v>
      </c>
      <c r="J122">
        <v>14303.94</v>
      </c>
      <c r="K122">
        <v>3302.82</v>
      </c>
      <c r="L122" s="2">
        <v>45047</v>
      </c>
    </row>
    <row r="123" spans="1:12" x14ac:dyDescent="0.3">
      <c r="A123" t="s">
        <v>14</v>
      </c>
      <c r="B123" t="s">
        <v>32</v>
      </c>
      <c r="C123" t="s">
        <v>35</v>
      </c>
      <c r="D123" t="s">
        <v>46</v>
      </c>
      <c r="E123" t="s">
        <v>49</v>
      </c>
      <c r="F123" t="s">
        <v>53</v>
      </c>
      <c r="G123">
        <v>112</v>
      </c>
      <c r="H123">
        <v>48.49</v>
      </c>
      <c r="I123">
        <v>5430.88</v>
      </c>
      <c r="J123">
        <v>4029.09</v>
      </c>
      <c r="K123">
        <v>1401.79</v>
      </c>
      <c r="L123" s="2">
        <v>45047</v>
      </c>
    </row>
    <row r="124" spans="1:12" x14ac:dyDescent="0.3">
      <c r="A124" t="s">
        <v>16</v>
      </c>
      <c r="B124" t="s">
        <v>28</v>
      </c>
      <c r="C124" t="s">
        <v>35</v>
      </c>
      <c r="D124" t="s">
        <v>40</v>
      </c>
      <c r="E124" t="s">
        <v>52</v>
      </c>
      <c r="F124" t="s">
        <v>54</v>
      </c>
      <c r="G124">
        <v>463</v>
      </c>
      <c r="H124">
        <v>218.57</v>
      </c>
      <c r="I124">
        <v>101197.91</v>
      </c>
      <c r="J124">
        <v>66498.53</v>
      </c>
      <c r="K124">
        <v>34699.379999999997</v>
      </c>
      <c r="L124" s="2">
        <v>45047</v>
      </c>
    </row>
    <row r="125" spans="1:12" x14ac:dyDescent="0.3">
      <c r="A125" t="s">
        <v>14</v>
      </c>
      <c r="B125" t="s">
        <v>23</v>
      </c>
      <c r="C125" t="s">
        <v>34</v>
      </c>
      <c r="D125" t="s">
        <v>36</v>
      </c>
      <c r="E125" t="s">
        <v>49</v>
      </c>
      <c r="F125" t="s">
        <v>54</v>
      </c>
      <c r="G125">
        <v>195</v>
      </c>
      <c r="H125">
        <v>172.83</v>
      </c>
      <c r="I125">
        <v>33701.85</v>
      </c>
      <c r="J125">
        <v>24944.93</v>
      </c>
      <c r="K125">
        <v>8756.92</v>
      </c>
      <c r="L125" s="2">
        <v>45047</v>
      </c>
    </row>
    <row r="126" spans="1:12" x14ac:dyDescent="0.3">
      <c r="A126" t="s">
        <v>16</v>
      </c>
      <c r="B126" t="s">
        <v>28</v>
      </c>
      <c r="C126" t="s">
        <v>35</v>
      </c>
      <c r="D126" t="s">
        <v>40</v>
      </c>
      <c r="E126" t="s">
        <v>49</v>
      </c>
      <c r="F126" t="s">
        <v>55</v>
      </c>
      <c r="G126">
        <v>465</v>
      </c>
      <c r="H126">
        <v>194.43</v>
      </c>
      <c r="I126">
        <v>90409.95</v>
      </c>
      <c r="J126">
        <v>63019.48</v>
      </c>
      <c r="K126">
        <v>27390.47</v>
      </c>
      <c r="L126" s="2">
        <v>45047</v>
      </c>
    </row>
    <row r="127" spans="1:12" x14ac:dyDescent="0.3">
      <c r="A127" t="s">
        <v>13</v>
      </c>
      <c r="B127" t="s">
        <v>26</v>
      </c>
      <c r="C127" t="s">
        <v>34</v>
      </c>
      <c r="D127" t="s">
        <v>38</v>
      </c>
      <c r="E127" t="s">
        <v>48</v>
      </c>
      <c r="F127" t="s">
        <v>55</v>
      </c>
      <c r="G127">
        <v>201</v>
      </c>
      <c r="H127">
        <v>240.26</v>
      </c>
      <c r="I127">
        <v>48292.26</v>
      </c>
      <c r="J127">
        <v>34978.76</v>
      </c>
      <c r="K127">
        <v>13313.5</v>
      </c>
      <c r="L127" s="2">
        <v>45047</v>
      </c>
    </row>
    <row r="128" spans="1:12" x14ac:dyDescent="0.3">
      <c r="A128" t="s">
        <v>16</v>
      </c>
      <c r="B128" t="s">
        <v>25</v>
      </c>
      <c r="C128" t="s">
        <v>35</v>
      </c>
      <c r="D128" t="s">
        <v>44</v>
      </c>
      <c r="E128" t="s">
        <v>50</v>
      </c>
      <c r="F128" t="s">
        <v>55</v>
      </c>
      <c r="G128">
        <v>265</v>
      </c>
      <c r="H128">
        <v>38.44</v>
      </c>
      <c r="I128">
        <v>10186.6</v>
      </c>
      <c r="J128">
        <v>7355.34</v>
      </c>
      <c r="K128">
        <v>2831.26</v>
      </c>
      <c r="L128" s="2">
        <v>45047</v>
      </c>
    </row>
    <row r="129" spans="1:12" x14ac:dyDescent="0.3">
      <c r="A129" t="s">
        <v>15</v>
      </c>
      <c r="B129" t="s">
        <v>31</v>
      </c>
      <c r="C129" t="s">
        <v>35</v>
      </c>
      <c r="D129" t="s">
        <v>40</v>
      </c>
      <c r="E129" t="s">
        <v>49</v>
      </c>
      <c r="F129" t="s">
        <v>55</v>
      </c>
      <c r="G129">
        <v>295</v>
      </c>
      <c r="H129">
        <v>252.6</v>
      </c>
      <c r="I129">
        <v>74517</v>
      </c>
      <c r="J129">
        <v>55654.02</v>
      </c>
      <c r="K129">
        <v>18862.98</v>
      </c>
      <c r="L129" s="2">
        <v>45047</v>
      </c>
    </row>
    <row r="130" spans="1:12" x14ac:dyDescent="0.3">
      <c r="A130" t="s">
        <v>15</v>
      </c>
      <c r="B130" t="s">
        <v>31</v>
      </c>
      <c r="C130" t="s">
        <v>34</v>
      </c>
      <c r="D130" t="s">
        <v>36</v>
      </c>
      <c r="E130" t="s">
        <v>48</v>
      </c>
      <c r="F130" t="s">
        <v>54</v>
      </c>
      <c r="G130">
        <v>126</v>
      </c>
      <c r="H130">
        <v>181.18</v>
      </c>
      <c r="I130">
        <v>22828.68</v>
      </c>
      <c r="J130">
        <v>16169.82</v>
      </c>
      <c r="K130">
        <v>6658.86</v>
      </c>
      <c r="L130" s="2">
        <v>45047</v>
      </c>
    </row>
    <row r="131" spans="1:12" x14ac:dyDescent="0.3">
      <c r="A131" t="s">
        <v>13</v>
      </c>
      <c r="B131" t="s">
        <v>17</v>
      </c>
      <c r="C131" t="s">
        <v>34</v>
      </c>
      <c r="D131" t="s">
        <v>36</v>
      </c>
      <c r="E131" t="s">
        <v>50</v>
      </c>
      <c r="F131" t="s">
        <v>54</v>
      </c>
      <c r="G131">
        <v>51</v>
      </c>
      <c r="H131">
        <v>92.3</v>
      </c>
      <c r="I131">
        <v>4707.3</v>
      </c>
      <c r="J131">
        <v>3251.66</v>
      </c>
      <c r="K131">
        <v>1455.64</v>
      </c>
      <c r="L131" s="2">
        <v>45047</v>
      </c>
    </row>
    <row r="132" spans="1:12" x14ac:dyDescent="0.3">
      <c r="A132" t="s">
        <v>14</v>
      </c>
      <c r="B132" t="s">
        <v>32</v>
      </c>
      <c r="C132" t="s">
        <v>34</v>
      </c>
      <c r="D132" t="s">
        <v>38</v>
      </c>
      <c r="E132" t="s">
        <v>50</v>
      </c>
      <c r="F132" t="s">
        <v>54</v>
      </c>
      <c r="G132">
        <v>406</v>
      </c>
      <c r="H132">
        <v>241.37</v>
      </c>
      <c r="I132">
        <v>97996.22</v>
      </c>
      <c r="J132">
        <v>69469.11</v>
      </c>
      <c r="K132">
        <v>28527.11</v>
      </c>
      <c r="L132" s="2">
        <v>45047</v>
      </c>
    </row>
    <row r="133" spans="1:12" x14ac:dyDescent="0.3">
      <c r="A133" t="s">
        <v>15</v>
      </c>
      <c r="B133" t="s">
        <v>31</v>
      </c>
      <c r="C133" t="s">
        <v>35</v>
      </c>
      <c r="D133" t="s">
        <v>41</v>
      </c>
      <c r="E133" t="s">
        <v>48</v>
      </c>
      <c r="F133" t="s">
        <v>55</v>
      </c>
      <c r="G133">
        <v>407</v>
      </c>
      <c r="H133">
        <v>214.18</v>
      </c>
      <c r="I133">
        <v>87171.26</v>
      </c>
      <c r="J133">
        <v>56943.839999999997</v>
      </c>
      <c r="K133">
        <v>30227.42</v>
      </c>
      <c r="L133" s="2">
        <v>45047</v>
      </c>
    </row>
    <row r="134" spans="1:12" x14ac:dyDescent="0.3">
      <c r="A134" t="s">
        <v>16</v>
      </c>
      <c r="B134" t="s">
        <v>25</v>
      </c>
      <c r="C134" t="s">
        <v>34</v>
      </c>
      <c r="D134" t="s">
        <v>38</v>
      </c>
      <c r="E134" t="s">
        <v>51</v>
      </c>
      <c r="F134" t="s">
        <v>54</v>
      </c>
      <c r="G134">
        <v>451</v>
      </c>
      <c r="H134">
        <v>74.75</v>
      </c>
      <c r="I134">
        <v>33712.25</v>
      </c>
      <c r="J134">
        <v>25636.99</v>
      </c>
      <c r="K134">
        <v>8075.26</v>
      </c>
      <c r="L134" s="2">
        <v>45047</v>
      </c>
    </row>
    <row r="135" spans="1:12" x14ac:dyDescent="0.3">
      <c r="A135" t="s">
        <v>14</v>
      </c>
      <c r="B135" t="s">
        <v>18</v>
      </c>
      <c r="C135" t="s">
        <v>34</v>
      </c>
      <c r="D135" t="s">
        <v>43</v>
      </c>
      <c r="E135" t="s">
        <v>48</v>
      </c>
      <c r="F135" t="s">
        <v>55</v>
      </c>
      <c r="G135">
        <v>358</v>
      </c>
      <c r="H135">
        <v>23.59</v>
      </c>
      <c r="I135">
        <v>8445.2199999999993</v>
      </c>
      <c r="J135">
        <v>5650.21</v>
      </c>
      <c r="K135">
        <v>2795.01</v>
      </c>
      <c r="L135" s="2">
        <v>45047</v>
      </c>
    </row>
    <row r="136" spans="1:12" x14ac:dyDescent="0.3">
      <c r="A136" t="s">
        <v>13</v>
      </c>
      <c r="B136" t="s">
        <v>17</v>
      </c>
      <c r="C136" t="s">
        <v>35</v>
      </c>
      <c r="D136" t="s">
        <v>47</v>
      </c>
      <c r="E136" t="s">
        <v>51</v>
      </c>
      <c r="F136" t="s">
        <v>54</v>
      </c>
      <c r="G136">
        <v>435</v>
      </c>
      <c r="H136">
        <v>243.38</v>
      </c>
      <c r="I136">
        <v>105870.3</v>
      </c>
      <c r="J136">
        <v>64741.19</v>
      </c>
      <c r="K136">
        <v>41129.11</v>
      </c>
      <c r="L136" s="2">
        <v>45047</v>
      </c>
    </row>
    <row r="137" spans="1:12" x14ac:dyDescent="0.3">
      <c r="A137" t="s">
        <v>14</v>
      </c>
      <c r="B137" t="s">
        <v>18</v>
      </c>
      <c r="C137" t="s">
        <v>34</v>
      </c>
      <c r="D137" t="s">
        <v>45</v>
      </c>
      <c r="E137" t="s">
        <v>49</v>
      </c>
      <c r="F137" t="s">
        <v>53</v>
      </c>
      <c r="G137">
        <v>412</v>
      </c>
      <c r="H137">
        <v>179.08</v>
      </c>
      <c r="I137">
        <v>73780.960000000006</v>
      </c>
      <c r="J137">
        <v>52041.85</v>
      </c>
      <c r="K137">
        <v>21739.11</v>
      </c>
      <c r="L137" s="2">
        <v>45047</v>
      </c>
    </row>
    <row r="138" spans="1:12" x14ac:dyDescent="0.3">
      <c r="A138" t="s">
        <v>15</v>
      </c>
      <c r="B138" t="s">
        <v>21</v>
      </c>
      <c r="C138" t="s">
        <v>34</v>
      </c>
      <c r="D138" t="s">
        <v>43</v>
      </c>
      <c r="E138" t="s">
        <v>50</v>
      </c>
      <c r="F138" t="s">
        <v>53</v>
      </c>
      <c r="G138">
        <v>383</v>
      </c>
      <c r="H138">
        <v>139.28</v>
      </c>
      <c r="I138">
        <v>53344.24</v>
      </c>
      <c r="J138">
        <v>41668.74</v>
      </c>
      <c r="K138">
        <v>11675.5</v>
      </c>
      <c r="L138" s="2">
        <v>45047</v>
      </c>
    </row>
    <row r="139" spans="1:12" x14ac:dyDescent="0.3">
      <c r="A139" t="s">
        <v>14</v>
      </c>
      <c r="B139" t="s">
        <v>19</v>
      </c>
      <c r="C139" t="s">
        <v>35</v>
      </c>
      <c r="D139" t="s">
        <v>47</v>
      </c>
      <c r="E139" t="s">
        <v>51</v>
      </c>
      <c r="F139" t="s">
        <v>55</v>
      </c>
      <c r="G139">
        <v>140</v>
      </c>
      <c r="H139">
        <v>118.26</v>
      </c>
      <c r="I139">
        <v>16556.400000000001</v>
      </c>
      <c r="J139">
        <v>11054.48</v>
      </c>
      <c r="K139">
        <v>5501.92</v>
      </c>
      <c r="L139" s="2">
        <v>45047</v>
      </c>
    </row>
    <row r="140" spans="1:12" x14ac:dyDescent="0.3">
      <c r="A140" t="s">
        <v>16</v>
      </c>
      <c r="B140" t="s">
        <v>28</v>
      </c>
      <c r="C140" t="s">
        <v>35</v>
      </c>
      <c r="D140" t="s">
        <v>47</v>
      </c>
      <c r="E140" t="s">
        <v>49</v>
      </c>
      <c r="F140" t="s">
        <v>54</v>
      </c>
      <c r="G140">
        <v>333</v>
      </c>
      <c r="H140">
        <v>95.62</v>
      </c>
      <c r="I140">
        <v>31841.46</v>
      </c>
      <c r="J140">
        <v>26105.99</v>
      </c>
      <c r="K140">
        <v>5735.47</v>
      </c>
      <c r="L140" s="2">
        <v>45047</v>
      </c>
    </row>
    <row r="141" spans="1:12" x14ac:dyDescent="0.3">
      <c r="A141" t="s">
        <v>13</v>
      </c>
      <c r="B141" t="s">
        <v>26</v>
      </c>
      <c r="C141" t="s">
        <v>34</v>
      </c>
      <c r="D141" t="s">
        <v>45</v>
      </c>
      <c r="E141" t="s">
        <v>51</v>
      </c>
      <c r="F141" t="s">
        <v>54</v>
      </c>
      <c r="G141">
        <v>75</v>
      </c>
      <c r="H141">
        <v>113.06</v>
      </c>
      <c r="I141">
        <v>8479.5</v>
      </c>
      <c r="J141">
        <v>6749.24</v>
      </c>
      <c r="K141">
        <v>1730.26</v>
      </c>
      <c r="L141" s="2">
        <v>45047</v>
      </c>
    </row>
    <row r="142" spans="1:12" x14ac:dyDescent="0.3">
      <c r="A142" t="s">
        <v>14</v>
      </c>
      <c r="B142" t="s">
        <v>23</v>
      </c>
      <c r="C142" t="s">
        <v>35</v>
      </c>
      <c r="D142" t="s">
        <v>41</v>
      </c>
      <c r="E142" t="s">
        <v>48</v>
      </c>
      <c r="F142" t="s">
        <v>54</v>
      </c>
      <c r="G142">
        <v>412</v>
      </c>
      <c r="H142">
        <v>113.77</v>
      </c>
      <c r="I142">
        <v>46873.24</v>
      </c>
      <c r="J142">
        <v>35715.269999999997</v>
      </c>
      <c r="K142">
        <v>11157.97</v>
      </c>
      <c r="L142" s="2">
        <v>45047</v>
      </c>
    </row>
    <row r="143" spans="1:12" x14ac:dyDescent="0.3">
      <c r="A143" t="s">
        <v>14</v>
      </c>
      <c r="B143" t="s">
        <v>19</v>
      </c>
      <c r="C143" t="s">
        <v>35</v>
      </c>
      <c r="D143" t="s">
        <v>41</v>
      </c>
      <c r="E143" t="s">
        <v>52</v>
      </c>
      <c r="F143" t="s">
        <v>53</v>
      </c>
      <c r="G143">
        <v>269</v>
      </c>
      <c r="H143">
        <v>128.06</v>
      </c>
      <c r="I143">
        <v>34448.14</v>
      </c>
      <c r="J143">
        <v>21237.360000000001</v>
      </c>
      <c r="K143">
        <v>13210.78</v>
      </c>
      <c r="L143" s="2">
        <v>45047</v>
      </c>
    </row>
    <row r="144" spans="1:12" x14ac:dyDescent="0.3">
      <c r="A144" t="s">
        <v>16</v>
      </c>
      <c r="B144" t="s">
        <v>22</v>
      </c>
      <c r="C144" t="s">
        <v>35</v>
      </c>
      <c r="D144" t="s">
        <v>46</v>
      </c>
      <c r="E144" t="s">
        <v>49</v>
      </c>
      <c r="F144" t="s">
        <v>53</v>
      </c>
      <c r="G144">
        <v>131</v>
      </c>
      <c r="H144">
        <v>105.42</v>
      </c>
      <c r="I144">
        <v>13810.02</v>
      </c>
      <c r="J144">
        <v>9909.32</v>
      </c>
      <c r="K144">
        <v>3900.7</v>
      </c>
      <c r="L144" s="2">
        <v>45047</v>
      </c>
    </row>
    <row r="145" spans="1:12" x14ac:dyDescent="0.3">
      <c r="A145" t="s">
        <v>13</v>
      </c>
      <c r="B145" t="s">
        <v>30</v>
      </c>
      <c r="C145" t="s">
        <v>34</v>
      </c>
      <c r="D145" t="s">
        <v>38</v>
      </c>
      <c r="E145" t="s">
        <v>48</v>
      </c>
      <c r="F145" t="s">
        <v>53</v>
      </c>
      <c r="G145">
        <v>48</v>
      </c>
      <c r="H145">
        <v>141.87</v>
      </c>
      <c r="I145">
        <v>6809.76</v>
      </c>
      <c r="J145">
        <v>4963.63</v>
      </c>
      <c r="K145">
        <v>1846.13</v>
      </c>
      <c r="L145" s="2">
        <v>45047</v>
      </c>
    </row>
    <row r="146" spans="1:12" x14ac:dyDescent="0.3">
      <c r="A146" t="s">
        <v>16</v>
      </c>
      <c r="B146" t="s">
        <v>24</v>
      </c>
      <c r="C146" t="s">
        <v>35</v>
      </c>
      <c r="D146" t="s">
        <v>47</v>
      </c>
      <c r="E146" t="s">
        <v>52</v>
      </c>
      <c r="F146" t="s">
        <v>53</v>
      </c>
      <c r="G146">
        <v>324</v>
      </c>
      <c r="H146">
        <v>155.32</v>
      </c>
      <c r="I146">
        <v>50323.68</v>
      </c>
      <c r="J146">
        <v>39078.769999999997</v>
      </c>
      <c r="K146">
        <v>11244.91</v>
      </c>
      <c r="L146" s="2">
        <v>45047</v>
      </c>
    </row>
    <row r="147" spans="1:12" x14ac:dyDescent="0.3">
      <c r="A147" t="s">
        <v>16</v>
      </c>
      <c r="B147" t="s">
        <v>28</v>
      </c>
      <c r="C147" t="s">
        <v>35</v>
      </c>
      <c r="D147" t="s">
        <v>44</v>
      </c>
      <c r="E147" t="s">
        <v>51</v>
      </c>
      <c r="F147" t="s">
        <v>55</v>
      </c>
      <c r="G147">
        <v>291</v>
      </c>
      <c r="H147">
        <v>217.59</v>
      </c>
      <c r="I147">
        <v>63318.69</v>
      </c>
      <c r="J147">
        <v>52380.9</v>
      </c>
      <c r="K147">
        <v>10937.79</v>
      </c>
      <c r="L147" s="2">
        <v>45047</v>
      </c>
    </row>
    <row r="148" spans="1:12" x14ac:dyDescent="0.3">
      <c r="A148" t="s">
        <v>13</v>
      </c>
      <c r="B148" t="s">
        <v>26</v>
      </c>
      <c r="C148" t="s">
        <v>35</v>
      </c>
      <c r="D148" t="s">
        <v>41</v>
      </c>
      <c r="E148" t="s">
        <v>52</v>
      </c>
      <c r="F148" t="s">
        <v>53</v>
      </c>
      <c r="G148">
        <v>96</v>
      </c>
      <c r="H148">
        <v>193.44</v>
      </c>
      <c r="I148">
        <v>18570.240000000002</v>
      </c>
      <c r="J148">
        <v>12873.12</v>
      </c>
      <c r="K148">
        <v>5697.12</v>
      </c>
      <c r="L148" s="2">
        <v>45047</v>
      </c>
    </row>
    <row r="149" spans="1:12" x14ac:dyDescent="0.3">
      <c r="A149" t="s">
        <v>16</v>
      </c>
      <c r="B149" t="s">
        <v>28</v>
      </c>
      <c r="C149" t="s">
        <v>34</v>
      </c>
      <c r="D149" t="s">
        <v>37</v>
      </c>
      <c r="E149" t="s">
        <v>50</v>
      </c>
      <c r="F149" t="s">
        <v>53</v>
      </c>
      <c r="G149">
        <v>103</v>
      </c>
      <c r="H149">
        <v>276.33999999999997</v>
      </c>
      <c r="I149">
        <v>28463.02</v>
      </c>
      <c r="J149">
        <v>23844.39</v>
      </c>
      <c r="K149">
        <v>4618.63</v>
      </c>
      <c r="L149" s="2">
        <v>45047</v>
      </c>
    </row>
    <row r="150" spans="1:12" x14ac:dyDescent="0.3">
      <c r="A150" t="s">
        <v>14</v>
      </c>
      <c r="B150" t="s">
        <v>32</v>
      </c>
      <c r="C150" t="s">
        <v>35</v>
      </c>
      <c r="D150" t="s">
        <v>46</v>
      </c>
      <c r="E150" t="s">
        <v>52</v>
      </c>
      <c r="F150" t="s">
        <v>54</v>
      </c>
      <c r="G150">
        <v>263</v>
      </c>
      <c r="H150">
        <v>151.11000000000001</v>
      </c>
      <c r="I150">
        <v>39741.93</v>
      </c>
      <c r="J150">
        <v>29800.18</v>
      </c>
      <c r="K150">
        <v>9941.75</v>
      </c>
      <c r="L150" s="2">
        <v>45047</v>
      </c>
    </row>
    <row r="151" spans="1:12" x14ac:dyDescent="0.3">
      <c r="A151" t="s">
        <v>16</v>
      </c>
      <c r="B151" t="s">
        <v>28</v>
      </c>
      <c r="C151" t="s">
        <v>34</v>
      </c>
      <c r="D151" t="s">
        <v>43</v>
      </c>
      <c r="E151" t="s">
        <v>50</v>
      </c>
      <c r="F151" t="s">
        <v>53</v>
      </c>
      <c r="G151">
        <v>413</v>
      </c>
      <c r="H151">
        <v>88.23</v>
      </c>
      <c r="I151">
        <v>36438.99</v>
      </c>
      <c r="J151">
        <v>22383.439999999999</v>
      </c>
      <c r="K151">
        <v>14055.55</v>
      </c>
      <c r="L151" s="2">
        <v>45047</v>
      </c>
    </row>
    <row r="152" spans="1:12" x14ac:dyDescent="0.3">
      <c r="A152" t="s">
        <v>14</v>
      </c>
      <c r="B152" t="s">
        <v>32</v>
      </c>
      <c r="C152" t="s">
        <v>34</v>
      </c>
      <c r="D152" t="s">
        <v>38</v>
      </c>
      <c r="E152" t="s">
        <v>52</v>
      </c>
      <c r="F152" t="s">
        <v>53</v>
      </c>
      <c r="G152">
        <v>242</v>
      </c>
      <c r="H152">
        <v>73.59</v>
      </c>
      <c r="I152">
        <v>17808.78</v>
      </c>
      <c r="J152">
        <v>10835.17</v>
      </c>
      <c r="K152">
        <v>6973.61</v>
      </c>
      <c r="L152" s="2">
        <v>45047</v>
      </c>
    </row>
    <row r="153" spans="1:12" x14ac:dyDescent="0.3">
      <c r="A153" t="s">
        <v>13</v>
      </c>
      <c r="B153" t="s">
        <v>27</v>
      </c>
      <c r="C153" t="s">
        <v>35</v>
      </c>
      <c r="D153" t="s">
        <v>47</v>
      </c>
      <c r="E153" t="s">
        <v>50</v>
      </c>
      <c r="F153" t="s">
        <v>53</v>
      </c>
      <c r="G153">
        <v>464</v>
      </c>
      <c r="H153">
        <v>11.67</v>
      </c>
      <c r="I153">
        <v>5414.88</v>
      </c>
      <c r="J153">
        <v>3688.33</v>
      </c>
      <c r="K153">
        <v>1726.55</v>
      </c>
      <c r="L153" s="2">
        <v>45078</v>
      </c>
    </row>
    <row r="154" spans="1:12" x14ac:dyDescent="0.3">
      <c r="A154" t="s">
        <v>14</v>
      </c>
      <c r="B154" t="s">
        <v>18</v>
      </c>
      <c r="C154" t="s">
        <v>35</v>
      </c>
      <c r="D154" t="s">
        <v>40</v>
      </c>
      <c r="E154" t="s">
        <v>49</v>
      </c>
      <c r="F154" t="s">
        <v>55</v>
      </c>
      <c r="G154">
        <v>115</v>
      </c>
      <c r="H154">
        <v>187</v>
      </c>
      <c r="I154">
        <v>21505</v>
      </c>
      <c r="J154">
        <v>16753.21</v>
      </c>
      <c r="K154">
        <v>4751.79</v>
      </c>
      <c r="L154" s="2">
        <v>45078</v>
      </c>
    </row>
    <row r="155" spans="1:12" x14ac:dyDescent="0.3">
      <c r="A155" t="s">
        <v>15</v>
      </c>
      <c r="B155" t="s">
        <v>33</v>
      </c>
      <c r="C155" t="s">
        <v>34</v>
      </c>
      <c r="D155" t="s">
        <v>37</v>
      </c>
      <c r="E155" t="s">
        <v>48</v>
      </c>
      <c r="F155" t="s">
        <v>54</v>
      </c>
      <c r="G155">
        <v>236</v>
      </c>
      <c r="H155">
        <v>64.349999999999994</v>
      </c>
      <c r="I155">
        <v>15186.6</v>
      </c>
      <c r="J155">
        <v>12370.16</v>
      </c>
      <c r="K155">
        <v>2816.44</v>
      </c>
      <c r="L155" s="2">
        <v>45078</v>
      </c>
    </row>
    <row r="156" spans="1:12" x14ac:dyDescent="0.3">
      <c r="A156" t="s">
        <v>13</v>
      </c>
      <c r="B156" t="s">
        <v>30</v>
      </c>
      <c r="C156" t="s">
        <v>34</v>
      </c>
      <c r="D156" t="s">
        <v>38</v>
      </c>
      <c r="E156" t="s">
        <v>48</v>
      </c>
      <c r="F156" t="s">
        <v>55</v>
      </c>
      <c r="G156">
        <v>37</v>
      </c>
      <c r="H156">
        <v>112.9</v>
      </c>
      <c r="I156">
        <v>4177.3</v>
      </c>
      <c r="J156">
        <v>2936.78</v>
      </c>
      <c r="K156">
        <v>1240.52</v>
      </c>
      <c r="L156" s="2">
        <v>45078</v>
      </c>
    </row>
    <row r="157" spans="1:12" x14ac:dyDescent="0.3">
      <c r="A157" t="s">
        <v>16</v>
      </c>
      <c r="B157" t="s">
        <v>24</v>
      </c>
      <c r="C157" t="s">
        <v>35</v>
      </c>
      <c r="D157" t="s">
        <v>47</v>
      </c>
      <c r="E157" t="s">
        <v>49</v>
      </c>
      <c r="F157" t="s">
        <v>55</v>
      </c>
      <c r="G157">
        <v>186</v>
      </c>
      <c r="H157">
        <v>236.34</v>
      </c>
      <c r="I157">
        <v>43959.24</v>
      </c>
      <c r="J157">
        <v>29426.17</v>
      </c>
      <c r="K157">
        <v>14533.07</v>
      </c>
      <c r="L157" s="2">
        <v>45078</v>
      </c>
    </row>
    <row r="158" spans="1:12" x14ac:dyDescent="0.3">
      <c r="A158" t="s">
        <v>16</v>
      </c>
      <c r="B158" t="s">
        <v>25</v>
      </c>
      <c r="C158" t="s">
        <v>34</v>
      </c>
      <c r="D158" t="s">
        <v>37</v>
      </c>
      <c r="E158" t="s">
        <v>48</v>
      </c>
      <c r="F158" t="s">
        <v>55</v>
      </c>
      <c r="G158">
        <v>34</v>
      </c>
      <c r="H158">
        <v>203.23</v>
      </c>
      <c r="I158">
        <v>6909.82</v>
      </c>
      <c r="J158">
        <v>4356.2299999999996</v>
      </c>
      <c r="K158">
        <v>2553.59</v>
      </c>
      <c r="L158" s="2">
        <v>45078</v>
      </c>
    </row>
    <row r="159" spans="1:12" x14ac:dyDescent="0.3">
      <c r="A159" t="s">
        <v>14</v>
      </c>
      <c r="B159" t="s">
        <v>23</v>
      </c>
      <c r="C159" t="s">
        <v>34</v>
      </c>
      <c r="D159" t="s">
        <v>38</v>
      </c>
      <c r="E159" t="s">
        <v>48</v>
      </c>
      <c r="F159" t="s">
        <v>54</v>
      </c>
      <c r="G159">
        <v>459</v>
      </c>
      <c r="H159">
        <v>17.079999999999998</v>
      </c>
      <c r="I159">
        <v>7839.72</v>
      </c>
      <c r="J159">
        <v>6409.16</v>
      </c>
      <c r="K159">
        <v>1430.56</v>
      </c>
      <c r="L159" s="2">
        <v>45078</v>
      </c>
    </row>
    <row r="160" spans="1:12" x14ac:dyDescent="0.3">
      <c r="A160" t="s">
        <v>15</v>
      </c>
      <c r="B160" t="s">
        <v>29</v>
      </c>
      <c r="C160" t="s">
        <v>35</v>
      </c>
      <c r="D160" t="s">
        <v>44</v>
      </c>
      <c r="E160" t="s">
        <v>48</v>
      </c>
      <c r="F160" t="s">
        <v>53</v>
      </c>
      <c r="G160">
        <v>62</v>
      </c>
      <c r="H160">
        <v>203.42</v>
      </c>
      <c r="I160">
        <v>12612.04</v>
      </c>
      <c r="J160">
        <v>9387.09</v>
      </c>
      <c r="K160">
        <v>3224.95</v>
      </c>
      <c r="L160" s="2">
        <v>45078</v>
      </c>
    </row>
    <row r="161" spans="1:12" x14ac:dyDescent="0.3">
      <c r="A161" t="s">
        <v>15</v>
      </c>
      <c r="B161" t="s">
        <v>20</v>
      </c>
      <c r="C161" t="s">
        <v>35</v>
      </c>
      <c r="D161" t="s">
        <v>41</v>
      </c>
      <c r="E161" t="s">
        <v>51</v>
      </c>
      <c r="F161" t="s">
        <v>55</v>
      </c>
      <c r="G161">
        <v>269</v>
      </c>
      <c r="H161">
        <v>121.51</v>
      </c>
      <c r="I161">
        <v>32686.19</v>
      </c>
      <c r="J161">
        <v>23596.71</v>
      </c>
      <c r="K161">
        <v>9089.48</v>
      </c>
      <c r="L161" s="2">
        <v>45078</v>
      </c>
    </row>
    <row r="162" spans="1:12" x14ac:dyDescent="0.3">
      <c r="A162" t="s">
        <v>14</v>
      </c>
      <c r="B162" t="s">
        <v>23</v>
      </c>
      <c r="C162" t="s">
        <v>34</v>
      </c>
      <c r="D162" t="s">
        <v>43</v>
      </c>
      <c r="E162" t="s">
        <v>52</v>
      </c>
      <c r="F162" t="s">
        <v>53</v>
      </c>
      <c r="G162">
        <v>59</v>
      </c>
      <c r="H162">
        <v>222.27</v>
      </c>
      <c r="I162">
        <v>13113.93</v>
      </c>
      <c r="J162">
        <v>10658.92</v>
      </c>
      <c r="K162">
        <v>2455.0100000000002</v>
      </c>
      <c r="L162" s="2">
        <v>45078</v>
      </c>
    </row>
    <row r="163" spans="1:12" x14ac:dyDescent="0.3">
      <c r="A163" t="s">
        <v>15</v>
      </c>
      <c r="B163" t="s">
        <v>21</v>
      </c>
      <c r="C163" t="s">
        <v>35</v>
      </c>
      <c r="D163" t="s">
        <v>42</v>
      </c>
      <c r="E163" t="s">
        <v>50</v>
      </c>
      <c r="F163" t="s">
        <v>54</v>
      </c>
      <c r="G163">
        <v>383</v>
      </c>
      <c r="H163">
        <v>212.32</v>
      </c>
      <c r="I163">
        <v>81318.559999999998</v>
      </c>
      <c r="J163">
        <v>52451.839999999997</v>
      </c>
      <c r="K163">
        <v>28866.720000000001</v>
      </c>
      <c r="L163" s="2">
        <v>45078</v>
      </c>
    </row>
    <row r="164" spans="1:12" x14ac:dyDescent="0.3">
      <c r="A164" t="s">
        <v>13</v>
      </c>
      <c r="B164" t="s">
        <v>17</v>
      </c>
      <c r="C164" t="s">
        <v>34</v>
      </c>
      <c r="D164" t="s">
        <v>36</v>
      </c>
      <c r="E164" t="s">
        <v>50</v>
      </c>
      <c r="F164" t="s">
        <v>55</v>
      </c>
      <c r="G164">
        <v>222</v>
      </c>
      <c r="H164">
        <v>67.67</v>
      </c>
      <c r="I164">
        <v>15022.74</v>
      </c>
      <c r="J164">
        <v>9256.32</v>
      </c>
      <c r="K164">
        <v>5766.42</v>
      </c>
      <c r="L164" s="2">
        <v>45078</v>
      </c>
    </row>
    <row r="165" spans="1:12" x14ac:dyDescent="0.3">
      <c r="A165" t="s">
        <v>13</v>
      </c>
      <c r="B165" t="s">
        <v>30</v>
      </c>
      <c r="C165" t="s">
        <v>35</v>
      </c>
      <c r="D165" t="s">
        <v>42</v>
      </c>
      <c r="E165" t="s">
        <v>50</v>
      </c>
      <c r="F165" t="s">
        <v>55</v>
      </c>
      <c r="G165">
        <v>132</v>
      </c>
      <c r="H165">
        <v>228.84</v>
      </c>
      <c r="I165">
        <v>30206.880000000001</v>
      </c>
      <c r="J165">
        <v>18901.32</v>
      </c>
      <c r="K165">
        <v>11305.56</v>
      </c>
      <c r="L165" s="2">
        <v>45078</v>
      </c>
    </row>
    <row r="166" spans="1:12" x14ac:dyDescent="0.3">
      <c r="A166" t="s">
        <v>15</v>
      </c>
      <c r="B166" t="s">
        <v>29</v>
      </c>
      <c r="C166" t="s">
        <v>34</v>
      </c>
      <c r="D166" t="s">
        <v>36</v>
      </c>
      <c r="E166" t="s">
        <v>50</v>
      </c>
      <c r="F166" t="s">
        <v>55</v>
      </c>
      <c r="G166">
        <v>150</v>
      </c>
      <c r="H166">
        <v>184.47</v>
      </c>
      <c r="I166">
        <v>27670.5</v>
      </c>
      <c r="J166">
        <v>22269.14</v>
      </c>
      <c r="K166">
        <v>5401.36</v>
      </c>
      <c r="L166" s="2">
        <v>45078</v>
      </c>
    </row>
    <row r="167" spans="1:12" x14ac:dyDescent="0.3">
      <c r="A167" t="s">
        <v>14</v>
      </c>
      <c r="B167" t="s">
        <v>18</v>
      </c>
      <c r="C167" t="s">
        <v>35</v>
      </c>
      <c r="D167" t="s">
        <v>46</v>
      </c>
      <c r="E167" t="s">
        <v>49</v>
      </c>
      <c r="F167" t="s">
        <v>55</v>
      </c>
      <c r="G167">
        <v>303</v>
      </c>
      <c r="H167">
        <v>269.76</v>
      </c>
      <c r="I167">
        <v>81737.279999999999</v>
      </c>
      <c r="J167">
        <v>60961.02</v>
      </c>
      <c r="K167">
        <v>20776.259999999998</v>
      </c>
      <c r="L167" s="2">
        <v>45078</v>
      </c>
    </row>
    <row r="168" spans="1:12" x14ac:dyDescent="0.3">
      <c r="A168" t="s">
        <v>13</v>
      </c>
      <c r="B168" t="s">
        <v>26</v>
      </c>
      <c r="C168" t="s">
        <v>35</v>
      </c>
      <c r="D168" t="s">
        <v>39</v>
      </c>
      <c r="E168" t="s">
        <v>48</v>
      </c>
      <c r="F168" t="s">
        <v>54</v>
      </c>
      <c r="G168">
        <v>236</v>
      </c>
      <c r="H168">
        <v>203.39</v>
      </c>
      <c r="I168">
        <v>48000.04</v>
      </c>
      <c r="J168">
        <v>38679.75</v>
      </c>
      <c r="K168">
        <v>9320.2900000000009</v>
      </c>
      <c r="L168" s="2">
        <v>45078</v>
      </c>
    </row>
    <row r="169" spans="1:12" x14ac:dyDescent="0.3">
      <c r="A169" t="s">
        <v>15</v>
      </c>
      <c r="B169" t="s">
        <v>21</v>
      </c>
      <c r="C169" t="s">
        <v>35</v>
      </c>
      <c r="D169" t="s">
        <v>40</v>
      </c>
      <c r="E169" t="s">
        <v>48</v>
      </c>
      <c r="F169" t="s">
        <v>55</v>
      </c>
      <c r="G169">
        <v>113</v>
      </c>
      <c r="H169">
        <v>283.39</v>
      </c>
      <c r="I169">
        <v>32023.07</v>
      </c>
      <c r="J169">
        <v>25499.89</v>
      </c>
      <c r="K169">
        <v>6523.18</v>
      </c>
      <c r="L169" s="2">
        <v>45078</v>
      </c>
    </row>
    <row r="170" spans="1:12" x14ac:dyDescent="0.3">
      <c r="A170" t="s">
        <v>15</v>
      </c>
      <c r="B170" t="s">
        <v>20</v>
      </c>
      <c r="C170" t="s">
        <v>35</v>
      </c>
      <c r="D170" t="s">
        <v>46</v>
      </c>
      <c r="E170" t="s">
        <v>49</v>
      </c>
      <c r="F170" t="s">
        <v>53</v>
      </c>
      <c r="G170">
        <v>161</v>
      </c>
      <c r="H170">
        <v>270.06</v>
      </c>
      <c r="I170">
        <v>43479.66</v>
      </c>
      <c r="J170">
        <v>26959.93</v>
      </c>
      <c r="K170">
        <v>16519.73</v>
      </c>
      <c r="L170" s="2">
        <v>45078</v>
      </c>
    </row>
    <row r="171" spans="1:12" x14ac:dyDescent="0.3">
      <c r="A171" t="s">
        <v>16</v>
      </c>
      <c r="B171" t="s">
        <v>22</v>
      </c>
      <c r="C171" t="s">
        <v>35</v>
      </c>
      <c r="D171" t="s">
        <v>47</v>
      </c>
      <c r="E171" t="s">
        <v>48</v>
      </c>
      <c r="F171" t="s">
        <v>53</v>
      </c>
      <c r="G171">
        <v>464</v>
      </c>
      <c r="H171">
        <v>232.59</v>
      </c>
      <c r="I171">
        <v>107921.76</v>
      </c>
      <c r="J171">
        <v>75990.53</v>
      </c>
      <c r="K171">
        <v>31931.23</v>
      </c>
      <c r="L171" s="2">
        <v>45078</v>
      </c>
    </row>
    <row r="172" spans="1:12" x14ac:dyDescent="0.3">
      <c r="A172" t="s">
        <v>15</v>
      </c>
      <c r="B172" t="s">
        <v>20</v>
      </c>
      <c r="C172" t="s">
        <v>34</v>
      </c>
      <c r="D172" t="s">
        <v>43</v>
      </c>
      <c r="E172" t="s">
        <v>52</v>
      </c>
      <c r="F172" t="s">
        <v>53</v>
      </c>
      <c r="G172">
        <v>136</v>
      </c>
      <c r="H172">
        <v>89.67</v>
      </c>
      <c r="I172">
        <v>12195.12</v>
      </c>
      <c r="J172">
        <v>8520.0499999999993</v>
      </c>
      <c r="K172">
        <v>3675.07</v>
      </c>
      <c r="L172" s="2">
        <v>45078</v>
      </c>
    </row>
    <row r="173" spans="1:12" x14ac:dyDescent="0.3">
      <c r="A173" t="s">
        <v>15</v>
      </c>
      <c r="B173" t="s">
        <v>33</v>
      </c>
      <c r="C173" t="s">
        <v>35</v>
      </c>
      <c r="D173" t="s">
        <v>41</v>
      </c>
      <c r="E173" t="s">
        <v>49</v>
      </c>
      <c r="F173" t="s">
        <v>55</v>
      </c>
      <c r="G173">
        <v>406</v>
      </c>
      <c r="H173">
        <v>130.58000000000001</v>
      </c>
      <c r="I173">
        <v>53015.48</v>
      </c>
      <c r="J173">
        <v>41347.49</v>
      </c>
      <c r="K173">
        <v>11667.99</v>
      </c>
      <c r="L173" s="2">
        <v>45078</v>
      </c>
    </row>
    <row r="174" spans="1:12" x14ac:dyDescent="0.3">
      <c r="A174" t="s">
        <v>14</v>
      </c>
      <c r="B174" t="s">
        <v>18</v>
      </c>
      <c r="C174" t="s">
        <v>34</v>
      </c>
      <c r="D174" t="s">
        <v>45</v>
      </c>
      <c r="E174" t="s">
        <v>51</v>
      </c>
      <c r="F174" t="s">
        <v>55</v>
      </c>
      <c r="G174">
        <v>483</v>
      </c>
      <c r="H174">
        <v>220.18</v>
      </c>
      <c r="I174">
        <v>106346.94</v>
      </c>
      <c r="J174">
        <v>65545.78</v>
      </c>
      <c r="K174">
        <v>40801.160000000003</v>
      </c>
      <c r="L174" s="2">
        <v>45078</v>
      </c>
    </row>
    <row r="175" spans="1:12" x14ac:dyDescent="0.3">
      <c r="A175" t="s">
        <v>14</v>
      </c>
      <c r="B175" t="s">
        <v>19</v>
      </c>
      <c r="C175" t="s">
        <v>35</v>
      </c>
      <c r="D175" t="s">
        <v>46</v>
      </c>
      <c r="E175" t="s">
        <v>51</v>
      </c>
      <c r="F175" t="s">
        <v>54</v>
      </c>
      <c r="G175">
        <v>119</v>
      </c>
      <c r="H175">
        <v>270.5</v>
      </c>
      <c r="I175">
        <v>32189.5</v>
      </c>
      <c r="J175">
        <v>25987.65</v>
      </c>
      <c r="K175">
        <v>6201.85</v>
      </c>
      <c r="L175" s="2">
        <v>45078</v>
      </c>
    </row>
    <row r="176" spans="1:12" x14ac:dyDescent="0.3">
      <c r="A176" t="s">
        <v>16</v>
      </c>
      <c r="B176" t="s">
        <v>22</v>
      </c>
      <c r="C176" t="s">
        <v>35</v>
      </c>
      <c r="D176" t="s">
        <v>47</v>
      </c>
      <c r="E176" t="s">
        <v>49</v>
      </c>
      <c r="F176" t="s">
        <v>55</v>
      </c>
      <c r="G176">
        <v>184</v>
      </c>
      <c r="H176">
        <v>276.07</v>
      </c>
      <c r="I176">
        <v>50796.88</v>
      </c>
      <c r="J176">
        <v>34167.31</v>
      </c>
      <c r="K176">
        <v>16629.57</v>
      </c>
      <c r="L176" s="2">
        <v>45078</v>
      </c>
    </row>
    <row r="177" spans="1:12" x14ac:dyDescent="0.3">
      <c r="A177" t="s">
        <v>14</v>
      </c>
      <c r="B177" t="s">
        <v>32</v>
      </c>
      <c r="C177" t="s">
        <v>35</v>
      </c>
      <c r="D177" t="s">
        <v>39</v>
      </c>
      <c r="E177" t="s">
        <v>49</v>
      </c>
      <c r="F177" t="s">
        <v>55</v>
      </c>
      <c r="G177">
        <v>447</v>
      </c>
      <c r="H177">
        <v>125.37</v>
      </c>
      <c r="I177">
        <v>56040.39</v>
      </c>
      <c r="J177">
        <v>46506.95</v>
      </c>
      <c r="K177">
        <v>9533.44</v>
      </c>
      <c r="L177" s="2">
        <v>45078</v>
      </c>
    </row>
    <row r="178" spans="1:12" x14ac:dyDescent="0.3">
      <c r="A178" t="s">
        <v>16</v>
      </c>
      <c r="B178" t="s">
        <v>22</v>
      </c>
      <c r="C178" t="s">
        <v>34</v>
      </c>
      <c r="D178" t="s">
        <v>43</v>
      </c>
      <c r="E178" t="s">
        <v>48</v>
      </c>
      <c r="F178" t="s">
        <v>53</v>
      </c>
      <c r="G178">
        <v>364</v>
      </c>
      <c r="H178">
        <v>142.72999999999999</v>
      </c>
      <c r="I178">
        <v>51953.72</v>
      </c>
      <c r="J178">
        <v>33885.29</v>
      </c>
      <c r="K178">
        <v>18068.43</v>
      </c>
      <c r="L178" s="2">
        <v>45078</v>
      </c>
    </row>
    <row r="179" spans="1:12" x14ac:dyDescent="0.3">
      <c r="A179" t="s">
        <v>14</v>
      </c>
      <c r="B179" t="s">
        <v>32</v>
      </c>
      <c r="C179" t="s">
        <v>34</v>
      </c>
      <c r="D179" t="s">
        <v>38</v>
      </c>
      <c r="E179" t="s">
        <v>52</v>
      </c>
      <c r="F179" t="s">
        <v>55</v>
      </c>
      <c r="G179">
        <v>190</v>
      </c>
      <c r="H179">
        <v>276.89</v>
      </c>
      <c r="I179">
        <v>52609.1</v>
      </c>
      <c r="J179">
        <v>38414.75</v>
      </c>
      <c r="K179">
        <v>14194.35</v>
      </c>
      <c r="L179" s="2">
        <v>45078</v>
      </c>
    </row>
    <row r="180" spans="1:12" x14ac:dyDescent="0.3">
      <c r="A180" t="s">
        <v>13</v>
      </c>
      <c r="B180" t="s">
        <v>17</v>
      </c>
      <c r="C180" t="s">
        <v>35</v>
      </c>
      <c r="D180" t="s">
        <v>41</v>
      </c>
      <c r="E180" t="s">
        <v>51</v>
      </c>
      <c r="F180" t="s">
        <v>53</v>
      </c>
      <c r="G180">
        <v>338</v>
      </c>
      <c r="H180">
        <v>27.25</v>
      </c>
      <c r="I180">
        <v>9210.5</v>
      </c>
      <c r="J180">
        <v>5533.59</v>
      </c>
      <c r="K180">
        <v>3676.91</v>
      </c>
      <c r="L180" s="2">
        <v>45078</v>
      </c>
    </row>
    <row r="181" spans="1:12" x14ac:dyDescent="0.3">
      <c r="A181" t="s">
        <v>14</v>
      </c>
      <c r="B181" t="s">
        <v>23</v>
      </c>
      <c r="C181" t="s">
        <v>34</v>
      </c>
      <c r="D181" t="s">
        <v>37</v>
      </c>
      <c r="E181" t="s">
        <v>49</v>
      </c>
      <c r="F181" t="s">
        <v>55</v>
      </c>
      <c r="G181">
        <v>135</v>
      </c>
      <c r="H181">
        <v>109.94</v>
      </c>
      <c r="I181">
        <v>14841.9</v>
      </c>
      <c r="J181">
        <v>9019.64</v>
      </c>
      <c r="K181">
        <v>5822.26</v>
      </c>
      <c r="L181" s="2">
        <v>45078</v>
      </c>
    </row>
    <row r="182" spans="1:12" x14ac:dyDescent="0.3">
      <c r="A182" t="s">
        <v>15</v>
      </c>
      <c r="B182" t="s">
        <v>33</v>
      </c>
      <c r="C182" t="s">
        <v>35</v>
      </c>
      <c r="D182" t="s">
        <v>41</v>
      </c>
      <c r="E182" t="s">
        <v>49</v>
      </c>
      <c r="F182" t="s">
        <v>53</v>
      </c>
      <c r="G182">
        <v>329</v>
      </c>
      <c r="H182">
        <v>174.48</v>
      </c>
      <c r="I182">
        <v>57403.92</v>
      </c>
      <c r="J182">
        <v>38515.57</v>
      </c>
      <c r="K182">
        <v>18888.349999999999</v>
      </c>
      <c r="L182" s="2">
        <v>45078</v>
      </c>
    </row>
    <row r="183" spans="1:12" x14ac:dyDescent="0.3">
      <c r="A183" t="s">
        <v>13</v>
      </c>
      <c r="B183" t="s">
        <v>27</v>
      </c>
      <c r="C183" t="s">
        <v>35</v>
      </c>
      <c r="D183" t="s">
        <v>41</v>
      </c>
      <c r="E183" t="s">
        <v>50</v>
      </c>
      <c r="F183" t="s">
        <v>55</v>
      </c>
      <c r="G183">
        <v>106</v>
      </c>
      <c r="H183">
        <v>157.72999999999999</v>
      </c>
      <c r="I183">
        <v>16719.38</v>
      </c>
      <c r="J183">
        <v>14197.67</v>
      </c>
      <c r="K183">
        <v>2521.71</v>
      </c>
      <c r="L183" s="2">
        <v>45078</v>
      </c>
    </row>
    <row r="184" spans="1:12" x14ac:dyDescent="0.3">
      <c r="A184" t="s">
        <v>15</v>
      </c>
      <c r="B184" t="s">
        <v>20</v>
      </c>
      <c r="C184" t="s">
        <v>35</v>
      </c>
      <c r="D184" t="s">
        <v>47</v>
      </c>
      <c r="E184" t="s">
        <v>50</v>
      </c>
      <c r="F184" t="s">
        <v>53</v>
      </c>
      <c r="G184">
        <v>480</v>
      </c>
      <c r="H184">
        <v>204.78</v>
      </c>
      <c r="I184">
        <v>98294.399999999994</v>
      </c>
      <c r="J184">
        <v>73283.61</v>
      </c>
      <c r="K184">
        <v>25010.79</v>
      </c>
      <c r="L184" s="2">
        <v>45108</v>
      </c>
    </row>
    <row r="185" spans="1:12" x14ac:dyDescent="0.3">
      <c r="A185" t="s">
        <v>13</v>
      </c>
      <c r="B185" t="s">
        <v>26</v>
      </c>
      <c r="C185" t="s">
        <v>34</v>
      </c>
      <c r="D185" t="s">
        <v>43</v>
      </c>
      <c r="E185" t="s">
        <v>48</v>
      </c>
      <c r="F185" t="s">
        <v>53</v>
      </c>
      <c r="G185">
        <v>426</v>
      </c>
      <c r="H185">
        <v>249.11</v>
      </c>
      <c r="I185">
        <v>106120.86</v>
      </c>
      <c r="J185">
        <v>73165.06</v>
      </c>
      <c r="K185">
        <v>32955.800000000003</v>
      </c>
      <c r="L185" s="2">
        <v>45108</v>
      </c>
    </row>
    <row r="186" spans="1:12" x14ac:dyDescent="0.3">
      <c r="A186" t="s">
        <v>13</v>
      </c>
      <c r="B186" t="s">
        <v>27</v>
      </c>
      <c r="C186" t="s">
        <v>35</v>
      </c>
      <c r="D186" t="s">
        <v>42</v>
      </c>
      <c r="E186" t="s">
        <v>49</v>
      </c>
      <c r="F186" t="s">
        <v>54</v>
      </c>
      <c r="G186">
        <v>200</v>
      </c>
      <c r="H186">
        <v>44.79</v>
      </c>
      <c r="I186">
        <v>8958</v>
      </c>
      <c r="J186">
        <v>7427.95</v>
      </c>
      <c r="K186">
        <v>1530.05</v>
      </c>
      <c r="L186" s="2">
        <v>45108</v>
      </c>
    </row>
    <row r="187" spans="1:12" x14ac:dyDescent="0.3">
      <c r="A187" t="s">
        <v>13</v>
      </c>
      <c r="B187" t="s">
        <v>30</v>
      </c>
      <c r="C187" t="s">
        <v>34</v>
      </c>
      <c r="D187" t="s">
        <v>37</v>
      </c>
      <c r="E187" t="s">
        <v>48</v>
      </c>
      <c r="F187" t="s">
        <v>53</v>
      </c>
      <c r="G187">
        <v>361</v>
      </c>
      <c r="H187">
        <v>167.32</v>
      </c>
      <c r="I187">
        <v>60402.52</v>
      </c>
      <c r="J187">
        <v>43690.3</v>
      </c>
      <c r="K187">
        <v>16712.22</v>
      </c>
      <c r="L187" s="2">
        <v>45108</v>
      </c>
    </row>
    <row r="188" spans="1:12" x14ac:dyDescent="0.3">
      <c r="A188" t="s">
        <v>14</v>
      </c>
      <c r="B188" t="s">
        <v>19</v>
      </c>
      <c r="C188" t="s">
        <v>35</v>
      </c>
      <c r="D188" t="s">
        <v>40</v>
      </c>
      <c r="E188" t="s">
        <v>52</v>
      </c>
      <c r="F188" t="s">
        <v>55</v>
      </c>
      <c r="G188">
        <v>219</v>
      </c>
      <c r="H188">
        <v>149.44</v>
      </c>
      <c r="I188">
        <v>32727.360000000001</v>
      </c>
      <c r="J188">
        <v>27151.07</v>
      </c>
      <c r="K188">
        <v>5576.29</v>
      </c>
      <c r="L188" s="2">
        <v>45108</v>
      </c>
    </row>
    <row r="189" spans="1:12" x14ac:dyDescent="0.3">
      <c r="A189" t="s">
        <v>14</v>
      </c>
      <c r="B189" t="s">
        <v>32</v>
      </c>
      <c r="C189" t="s">
        <v>35</v>
      </c>
      <c r="D189" t="s">
        <v>42</v>
      </c>
      <c r="E189" t="s">
        <v>48</v>
      </c>
      <c r="F189" t="s">
        <v>53</v>
      </c>
      <c r="G189">
        <v>17</v>
      </c>
      <c r="H189">
        <v>269.26</v>
      </c>
      <c r="I189">
        <v>4577.42</v>
      </c>
      <c r="J189">
        <v>3495.19</v>
      </c>
      <c r="K189">
        <v>1082.23</v>
      </c>
      <c r="L189" s="2">
        <v>45108</v>
      </c>
    </row>
    <row r="190" spans="1:12" x14ac:dyDescent="0.3">
      <c r="A190" t="s">
        <v>16</v>
      </c>
      <c r="B190" t="s">
        <v>24</v>
      </c>
      <c r="C190" t="s">
        <v>34</v>
      </c>
      <c r="D190" t="s">
        <v>36</v>
      </c>
      <c r="E190" t="s">
        <v>52</v>
      </c>
      <c r="F190" t="s">
        <v>54</v>
      </c>
      <c r="G190">
        <v>236</v>
      </c>
      <c r="H190">
        <v>75.09</v>
      </c>
      <c r="I190">
        <v>17721.240000000002</v>
      </c>
      <c r="J190">
        <v>11624.33</v>
      </c>
      <c r="K190">
        <v>6096.91</v>
      </c>
      <c r="L190" s="2">
        <v>45108</v>
      </c>
    </row>
    <row r="191" spans="1:12" x14ac:dyDescent="0.3">
      <c r="A191" t="s">
        <v>15</v>
      </c>
      <c r="B191" t="s">
        <v>20</v>
      </c>
      <c r="C191" t="s">
        <v>35</v>
      </c>
      <c r="D191" t="s">
        <v>40</v>
      </c>
      <c r="E191" t="s">
        <v>49</v>
      </c>
      <c r="F191" t="s">
        <v>54</v>
      </c>
      <c r="G191">
        <v>439</v>
      </c>
      <c r="H191">
        <v>206.44</v>
      </c>
      <c r="I191">
        <v>90627.16</v>
      </c>
      <c r="J191">
        <v>59701.48</v>
      </c>
      <c r="K191">
        <v>30925.68</v>
      </c>
      <c r="L191" s="2">
        <v>45108</v>
      </c>
    </row>
    <row r="192" spans="1:12" x14ac:dyDescent="0.3">
      <c r="A192" t="s">
        <v>13</v>
      </c>
      <c r="B192" t="s">
        <v>26</v>
      </c>
      <c r="C192" t="s">
        <v>34</v>
      </c>
      <c r="D192" t="s">
        <v>36</v>
      </c>
      <c r="E192" t="s">
        <v>48</v>
      </c>
      <c r="F192" t="s">
        <v>54</v>
      </c>
      <c r="G192">
        <v>320</v>
      </c>
      <c r="H192">
        <v>72.05</v>
      </c>
      <c r="I192">
        <v>23056</v>
      </c>
      <c r="J192">
        <v>13908.7</v>
      </c>
      <c r="K192">
        <v>9147.2999999999993</v>
      </c>
      <c r="L192" s="2">
        <v>45108</v>
      </c>
    </row>
    <row r="193" spans="1:12" x14ac:dyDescent="0.3">
      <c r="A193" t="s">
        <v>13</v>
      </c>
      <c r="B193" t="s">
        <v>17</v>
      </c>
      <c r="C193" t="s">
        <v>34</v>
      </c>
      <c r="D193" t="s">
        <v>37</v>
      </c>
      <c r="E193" t="s">
        <v>51</v>
      </c>
      <c r="F193" t="s">
        <v>55</v>
      </c>
      <c r="G193">
        <v>16</v>
      </c>
      <c r="H193">
        <v>209.28</v>
      </c>
      <c r="I193">
        <v>3348.48</v>
      </c>
      <c r="J193">
        <v>2715.99</v>
      </c>
      <c r="K193">
        <v>632.49</v>
      </c>
      <c r="L193" s="2">
        <v>45108</v>
      </c>
    </row>
    <row r="194" spans="1:12" x14ac:dyDescent="0.3">
      <c r="A194" t="s">
        <v>13</v>
      </c>
      <c r="B194" t="s">
        <v>27</v>
      </c>
      <c r="C194" t="s">
        <v>34</v>
      </c>
      <c r="D194" t="s">
        <v>45</v>
      </c>
      <c r="E194" t="s">
        <v>51</v>
      </c>
      <c r="F194" t="s">
        <v>53</v>
      </c>
      <c r="G194">
        <v>23</v>
      </c>
      <c r="H194">
        <v>219.79</v>
      </c>
      <c r="I194">
        <v>5055.17</v>
      </c>
      <c r="J194">
        <v>3164.71</v>
      </c>
      <c r="K194">
        <v>1890.46</v>
      </c>
      <c r="L194" s="2">
        <v>45108</v>
      </c>
    </row>
    <row r="195" spans="1:12" x14ac:dyDescent="0.3">
      <c r="A195" t="s">
        <v>13</v>
      </c>
      <c r="B195" t="s">
        <v>27</v>
      </c>
      <c r="C195" t="s">
        <v>34</v>
      </c>
      <c r="D195" t="s">
        <v>43</v>
      </c>
      <c r="E195" t="s">
        <v>48</v>
      </c>
      <c r="F195" t="s">
        <v>55</v>
      </c>
      <c r="G195">
        <v>68</v>
      </c>
      <c r="H195">
        <v>112.96</v>
      </c>
      <c r="I195">
        <v>7681.28</v>
      </c>
      <c r="J195">
        <v>5949.75</v>
      </c>
      <c r="K195">
        <v>1731.53</v>
      </c>
      <c r="L195" s="2">
        <v>45108</v>
      </c>
    </row>
    <row r="196" spans="1:12" x14ac:dyDescent="0.3">
      <c r="A196" t="s">
        <v>13</v>
      </c>
      <c r="B196" t="s">
        <v>26</v>
      </c>
      <c r="C196" t="s">
        <v>34</v>
      </c>
      <c r="D196" t="s">
        <v>43</v>
      </c>
      <c r="E196" t="s">
        <v>52</v>
      </c>
      <c r="F196" t="s">
        <v>55</v>
      </c>
      <c r="G196">
        <v>464</v>
      </c>
      <c r="H196">
        <v>222.75</v>
      </c>
      <c r="I196">
        <v>103356</v>
      </c>
      <c r="J196">
        <v>81891.67</v>
      </c>
      <c r="K196">
        <v>21464.33</v>
      </c>
      <c r="L196" s="2">
        <v>45108</v>
      </c>
    </row>
    <row r="197" spans="1:12" x14ac:dyDescent="0.3">
      <c r="A197" t="s">
        <v>16</v>
      </c>
      <c r="B197" t="s">
        <v>28</v>
      </c>
      <c r="C197" t="s">
        <v>35</v>
      </c>
      <c r="D197" t="s">
        <v>42</v>
      </c>
      <c r="E197" t="s">
        <v>52</v>
      </c>
      <c r="F197" t="s">
        <v>53</v>
      </c>
      <c r="G197">
        <v>459</v>
      </c>
      <c r="H197">
        <v>105.34</v>
      </c>
      <c r="I197">
        <v>48351.06</v>
      </c>
      <c r="J197">
        <v>36667.040000000001</v>
      </c>
      <c r="K197">
        <v>11684.02</v>
      </c>
      <c r="L197" s="2">
        <v>45108</v>
      </c>
    </row>
    <row r="198" spans="1:12" x14ac:dyDescent="0.3">
      <c r="A198" t="s">
        <v>15</v>
      </c>
      <c r="B198" t="s">
        <v>29</v>
      </c>
      <c r="C198" t="s">
        <v>34</v>
      </c>
      <c r="D198" t="s">
        <v>45</v>
      </c>
      <c r="E198" t="s">
        <v>48</v>
      </c>
      <c r="F198" t="s">
        <v>53</v>
      </c>
      <c r="G198">
        <v>254</v>
      </c>
      <c r="H198">
        <v>93.88</v>
      </c>
      <c r="I198">
        <v>23845.52</v>
      </c>
      <c r="J198">
        <v>19673.05</v>
      </c>
      <c r="K198">
        <v>4172.47</v>
      </c>
      <c r="L198" s="2">
        <v>45108</v>
      </c>
    </row>
    <row r="199" spans="1:12" x14ac:dyDescent="0.3">
      <c r="A199" t="s">
        <v>15</v>
      </c>
      <c r="B199" t="s">
        <v>29</v>
      </c>
      <c r="C199" t="s">
        <v>35</v>
      </c>
      <c r="D199" t="s">
        <v>39</v>
      </c>
      <c r="E199" t="s">
        <v>51</v>
      </c>
      <c r="F199" t="s">
        <v>53</v>
      </c>
      <c r="G199">
        <v>75</v>
      </c>
      <c r="H199">
        <v>54.6</v>
      </c>
      <c r="I199">
        <v>4095</v>
      </c>
      <c r="J199">
        <v>2685.93</v>
      </c>
      <c r="K199">
        <v>1409.07</v>
      </c>
      <c r="L199" s="2">
        <v>45108</v>
      </c>
    </row>
    <row r="200" spans="1:12" x14ac:dyDescent="0.3">
      <c r="A200" t="s">
        <v>14</v>
      </c>
      <c r="B200" t="s">
        <v>32</v>
      </c>
      <c r="C200" t="s">
        <v>34</v>
      </c>
      <c r="D200" t="s">
        <v>43</v>
      </c>
      <c r="E200" t="s">
        <v>49</v>
      </c>
      <c r="F200" t="s">
        <v>54</v>
      </c>
      <c r="G200">
        <v>12</v>
      </c>
      <c r="H200">
        <v>101.53</v>
      </c>
      <c r="I200">
        <v>1218.3599999999999</v>
      </c>
      <c r="J200">
        <v>927.43</v>
      </c>
      <c r="K200">
        <v>290.93</v>
      </c>
      <c r="L200" s="2">
        <v>45108</v>
      </c>
    </row>
    <row r="201" spans="1:12" x14ac:dyDescent="0.3">
      <c r="A201" t="s">
        <v>15</v>
      </c>
      <c r="B201" t="s">
        <v>21</v>
      </c>
      <c r="C201" t="s">
        <v>34</v>
      </c>
      <c r="D201" t="s">
        <v>37</v>
      </c>
      <c r="E201" t="s">
        <v>51</v>
      </c>
      <c r="F201" t="s">
        <v>55</v>
      </c>
      <c r="G201">
        <v>468</v>
      </c>
      <c r="H201">
        <v>297.45999999999998</v>
      </c>
      <c r="I201">
        <v>139211.28</v>
      </c>
      <c r="J201">
        <v>87995.25</v>
      </c>
      <c r="K201">
        <v>51216.03</v>
      </c>
      <c r="L201" s="2">
        <v>45108</v>
      </c>
    </row>
    <row r="202" spans="1:12" x14ac:dyDescent="0.3">
      <c r="A202" t="s">
        <v>16</v>
      </c>
      <c r="B202" t="s">
        <v>24</v>
      </c>
      <c r="C202" t="s">
        <v>34</v>
      </c>
      <c r="D202" t="s">
        <v>43</v>
      </c>
      <c r="E202" t="s">
        <v>52</v>
      </c>
      <c r="F202" t="s">
        <v>54</v>
      </c>
      <c r="G202">
        <v>204</v>
      </c>
      <c r="H202">
        <v>258.69</v>
      </c>
      <c r="I202">
        <v>52772.76</v>
      </c>
      <c r="J202">
        <v>43757</v>
      </c>
      <c r="K202">
        <v>9015.76</v>
      </c>
      <c r="L202" s="2">
        <v>45108</v>
      </c>
    </row>
    <row r="203" spans="1:12" x14ac:dyDescent="0.3">
      <c r="A203" t="s">
        <v>16</v>
      </c>
      <c r="B203" t="s">
        <v>22</v>
      </c>
      <c r="C203" t="s">
        <v>34</v>
      </c>
      <c r="D203" t="s">
        <v>36</v>
      </c>
      <c r="E203" t="s">
        <v>51</v>
      </c>
      <c r="F203" t="s">
        <v>53</v>
      </c>
      <c r="G203">
        <v>240</v>
      </c>
      <c r="H203">
        <v>272.13</v>
      </c>
      <c r="I203">
        <v>65311.199999999997</v>
      </c>
      <c r="J203">
        <v>54035.06</v>
      </c>
      <c r="K203">
        <v>11276.14</v>
      </c>
      <c r="L203" s="2">
        <v>45108</v>
      </c>
    </row>
    <row r="204" spans="1:12" x14ac:dyDescent="0.3">
      <c r="A204" t="s">
        <v>16</v>
      </c>
      <c r="B204" t="s">
        <v>24</v>
      </c>
      <c r="C204" t="s">
        <v>35</v>
      </c>
      <c r="D204" t="s">
        <v>47</v>
      </c>
      <c r="E204" t="s">
        <v>48</v>
      </c>
      <c r="F204" t="s">
        <v>53</v>
      </c>
      <c r="G204">
        <v>468</v>
      </c>
      <c r="H204">
        <v>269.5</v>
      </c>
      <c r="I204">
        <v>126126</v>
      </c>
      <c r="J204">
        <v>92942.01</v>
      </c>
      <c r="K204">
        <v>33183.99</v>
      </c>
      <c r="L204" s="2">
        <v>45108</v>
      </c>
    </row>
    <row r="205" spans="1:12" x14ac:dyDescent="0.3">
      <c r="A205" t="s">
        <v>16</v>
      </c>
      <c r="B205" t="s">
        <v>22</v>
      </c>
      <c r="C205" t="s">
        <v>35</v>
      </c>
      <c r="D205" t="s">
        <v>42</v>
      </c>
      <c r="E205" t="s">
        <v>49</v>
      </c>
      <c r="F205" t="s">
        <v>53</v>
      </c>
      <c r="G205">
        <v>490</v>
      </c>
      <c r="H205">
        <v>290.44</v>
      </c>
      <c r="I205">
        <v>142315.6</v>
      </c>
      <c r="J205">
        <v>87227.68</v>
      </c>
      <c r="K205">
        <v>55087.92</v>
      </c>
      <c r="L205" s="2">
        <v>45108</v>
      </c>
    </row>
    <row r="206" spans="1:12" x14ac:dyDescent="0.3">
      <c r="A206" t="s">
        <v>16</v>
      </c>
      <c r="B206" t="s">
        <v>25</v>
      </c>
      <c r="C206" t="s">
        <v>34</v>
      </c>
      <c r="D206" t="s">
        <v>43</v>
      </c>
      <c r="E206" t="s">
        <v>50</v>
      </c>
      <c r="F206" t="s">
        <v>53</v>
      </c>
      <c r="G206">
        <v>192</v>
      </c>
      <c r="H206">
        <v>22.66</v>
      </c>
      <c r="I206">
        <v>4350.72</v>
      </c>
      <c r="J206">
        <v>2786.28</v>
      </c>
      <c r="K206">
        <v>1564.44</v>
      </c>
      <c r="L206" s="2">
        <v>45108</v>
      </c>
    </row>
    <row r="207" spans="1:12" x14ac:dyDescent="0.3">
      <c r="A207" t="s">
        <v>15</v>
      </c>
      <c r="B207" t="s">
        <v>31</v>
      </c>
      <c r="C207" t="s">
        <v>35</v>
      </c>
      <c r="D207" t="s">
        <v>40</v>
      </c>
      <c r="E207" t="s">
        <v>51</v>
      </c>
      <c r="F207" t="s">
        <v>55</v>
      </c>
      <c r="G207">
        <v>11</v>
      </c>
      <c r="H207">
        <v>274.08</v>
      </c>
      <c r="I207">
        <v>3014.88</v>
      </c>
      <c r="J207">
        <v>2279.8200000000002</v>
      </c>
      <c r="K207">
        <v>735.06</v>
      </c>
      <c r="L207" s="2">
        <v>45108</v>
      </c>
    </row>
    <row r="208" spans="1:12" x14ac:dyDescent="0.3">
      <c r="A208" t="s">
        <v>13</v>
      </c>
      <c r="B208" t="s">
        <v>17</v>
      </c>
      <c r="C208" t="s">
        <v>35</v>
      </c>
      <c r="D208" t="s">
        <v>47</v>
      </c>
      <c r="E208" t="s">
        <v>50</v>
      </c>
      <c r="F208" t="s">
        <v>55</v>
      </c>
      <c r="G208">
        <v>406</v>
      </c>
      <c r="H208">
        <v>42.08</v>
      </c>
      <c r="I208">
        <v>17084.48</v>
      </c>
      <c r="J208">
        <v>13865.99</v>
      </c>
      <c r="K208">
        <v>3218.49</v>
      </c>
      <c r="L208" s="2">
        <v>45108</v>
      </c>
    </row>
    <row r="209" spans="1:12" x14ac:dyDescent="0.3">
      <c r="A209" t="s">
        <v>14</v>
      </c>
      <c r="B209" t="s">
        <v>23</v>
      </c>
      <c r="C209" t="s">
        <v>34</v>
      </c>
      <c r="D209" t="s">
        <v>38</v>
      </c>
      <c r="E209" t="s">
        <v>51</v>
      </c>
      <c r="F209" t="s">
        <v>53</v>
      </c>
      <c r="G209">
        <v>266</v>
      </c>
      <c r="H209">
        <v>65.56</v>
      </c>
      <c r="I209">
        <v>17438.96</v>
      </c>
      <c r="J209">
        <v>14466.66</v>
      </c>
      <c r="K209">
        <v>2972.3</v>
      </c>
      <c r="L209" s="2">
        <v>45108</v>
      </c>
    </row>
    <row r="210" spans="1:12" x14ac:dyDescent="0.3">
      <c r="A210" t="s">
        <v>14</v>
      </c>
      <c r="B210" t="s">
        <v>18</v>
      </c>
      <c r="C210" t="s">
        <v>34</v>
      </c>
      <c r="D210" t="s">
        <v>37</v>
      </c>
      <c r="E210" t="s">
        <v>48</v>
      </c>
      <c r="F210" t="s">
        <v>53</v>
      </c>
      <c r="G210">
        <v>234</v>
      </c>
      <c r="H210">
        <v>35.479999999999997</v>
      </c>
      <c r="I210">
        <v>8302.32</v>
      </c>
      <c r="J210">
        <v>5709.15</v>
      </c>
      <c r="K210">
        <v>2593.17</v>
      </c>
      <c r="L210" s="2">
        <v>45108</v>
      </c>
    </row>
    <row r="211" spans="1:12" x14ac:dyDescent="0.3">
      <c r="A211" t="s">
        <v>13</v>
      </c>
      <c r="B211" t="s">
        <v>30</v>
      </c>
      <c r="C211" t="s">
        <v>34</v>
      </c>
      <c r="D211" t="s">
        <v>38</v>
      </c>
      <c r="E211" t="s">
        <v>49</v>
      </c>
      <c r="F211" t="s">
        <v>55</v>
      </c>
      <c r="G211">
        <v>465</v>
      </c>
      <c r="H211">
        <v>31.07</v>
      </c>
      <c r="I211">
        <v>14447.55</v>
      </c>
      <c r="J211">
        <v>8946.93</v>
      </c>
      <c r="K211">
        <v>5500.62</v>
      </c>
      <c r="L211" s="2">
        <v>45108</v>
      </c>
    </row>
    <row r="212" spans="1:12" x14ac:dyDescent="0.3">
      <c r="A212" t="s">
        <v>16</v>
      </c>
      <c r="B212" t="s">
        <v>24</v>
      </c>
      <c r="C212" t="s">
        <v>35</v>
      </c>
      <c r="D212" t="s">
        <v>46</v>
      </c>
      <c r="E212" t="s">
        <v>50</v>
      </c>
      <c r="F212" t="s">
        <v>53</v>
      </c>
      <c r="G212">
        <v>329</v>
      </c>
      <c r="H212">
        <v>176.6</v>
      </c>
      <c r="I212">
        <v>58101.4</v>
      </c>
      <c r="J212">
        <v>47088.7</v>
      </c>
      <c r="K212">
        <v>11012.7</v>
      </c>
      <c r="L212" s="2">
        <v>45108</v>
      </c>
    </row>
    <row r="213" spans="1:12" x14ac:dyDescent="0.3">
      <c r="A213" t="s">
        <v>13</v>
      </c>
      <c r="B213" t="s">
        <v>30</v>
      </c>
      <c r="C213" t="s">
        <v>35</v>
      </c>
      <c r="D213" t="s">
        <v>42</v>
      </c>
      <c r="E213" t="s">
        <v>50</v>
      </c>
      <c r="F213" t="s">
        <v>55</v>
      </c>
      <c r="G213">
        <v>113</v>
      </c>
      <c r="H213">
        <v>136.1</v>
      </c>
      <c r="I213">
        <v>15379.3</v>
      </c>
      <c r="J213">
        <v>10174.950000000001</v>
      </c>
      <c r="K213">
        <v>5204.3500000000004</v>
      </c>
      <c r="L213" s="2">
        <v>45108</v>
      </c>
    </row>
    <row r="214" spans="1:12" x14ac:dyDescent="0.3">
      <c r="A214" t="s">
        <v>16</v>
      </c>
      <c r="B214" t="s">
        <v>22</v>
      </c>
      <c r="C214" t="s">
        <v>34</v>
      </c>
      <c r="D214" t="s">
        <v>38</v>
      </c>
      <c r="E214" t="s">
        <v>49</v>
      </c>
      <c r="F214" t="s">
        <v>53</v>
      </c>
      <c r="G214">
        <v>111</v>
      </c>
      <c r="H214">
        <v>137.07</v>
      </c>
      <c r="I214">
        <v>15214.77</v>
      </c>
      <c r="J214">
        <v>12557.42</v>
      </c>
      <c r="K214">
        <v>2657.35</v>
      </c>
      <c r="L214" s="2">
        <v>45108</v>
      </c>
    </row>
    <row r="215" spans="1:12" x14ac:dyDescent="0.3">
      <c r="A215" t="s">
        <v>16</v>
      </c>
      <c r="B215" t="s">
        <v>22</v>
      </c>
      <c r="C215" t="s">
        <v>35</v>
      </c>
      <c r="D215" t="s">
        <v>44</v>
      </c>
      <c r="E215" t="s">
        <v>52</v>
      </c>
      <c r="F215" t="s">
        <v>55</v>
      </c>
      <c r="G215">
        <v>100</v>
      </c>
      <c r="H215">
        <v>130.53</v>
      </c>
      <c r="I215">
        <v>13053</v>
      </c>
      <c r="J215">
        <v>10596.66</v>
      </c>
      <c r="K215">
        <v>2456.34</v>
      </c>
      <c r="L215" s="2">
        <v>45139</v>
      </c>
    </row>
    <row r="216" spans="1:12" x14ac:dyDescent="0.3">
      <c r="A216" t="s">
        <v>14</v>
      </c>
      <c r="B216" t="s">
        <v>19</v>
      </c>
      <c r="C216" t="s">
        <v>35</v>
      </c>
      <c r="D216" t="s">
        <v>40</v>
      </c>
      <c r="E216" t="s">
        <v>49</v>
      </c>
      <c r="F216" t="s">
        <v>54</v>
      </c>
      <c r="G216">
        <v>10</v>
      </c>
      <c r="H216">
        <v>286.67</v>
      </c>
      <c r="I216">
        <v>2866.7</v>
      </c>
      <c r="J216">
        <v>2154.4499999999998</v>
      </c>
      <c r="K216">
        <v>712.25</v>
      </c>
      <c r="L216" s="2">
        <v>45139</v>
      </c>
    </row>
    <row r="217" spans="1:12" x14ac:dyDescent="0.3">
      <c r="A217" t="s">
        <v>14</v>
      </c>
      <c r="B217" t="s">
        <v>18</v>
      </c>
      <c r="C217" t="s">
        <v>34</v>
      </c>
      <c r="D217" t="s">
        <v>43</v>
      </c>
      <c r="E217" t="s">
        <v>50</v>
      </c>
      <c r="F217" t="s">
        <v>54</v>
      </c>
      <c r="G217">
        <v>273</v>
      </c>
      <c r="H217">
        <v>11.11</v>
      </c>
      <c r="I217">
        <v>3033.03</v>
      </c>
      <c r="J217">
        <v>2006.97</v>
      </c>
      <c r="K217">
        <v>1026.06</v>
      </c>
      <c r="L217" s="2">
        <v>45139</v>
      </c>
    </row>
    <row r="218" spans="1:12" x14ac:dyDescent="0.3">
      <c r="A218" t="s">
        <v>15</v>
      </c>
      <c r="B218" t="s">
        <v>31</v>
      </c>
      <c r="C218" t="s">
        <v>35</v>
      </c>
      <c r="D218" t="s">
        <v>46</v>
      </c>
      <c r="E218" t="s">
        <v>51</v>
      </c>
      <c r="F218" t="s">
        <v>55</v>
      </c>
      <c r="G218">
        <v>173</v>
      </c>
      <c r="H218">
        <v>273.01</v>
      </c>
      <c r="I218">
        <v>47230.73</v>
      </c>
      <c r="J218">
        <v>29901.45</v>
      </c>
      <c r="K218">
        <v>17329.28</v>
      </c>
      <c r="L218" s="2">
        <v>45139</v>
      </c>
    </row>
    <row r="219" spans="1:12" x14ac:dyDescent="0.3">
      <c r="A219" t="s">
        <v>14</v>
      </c>
      <c r="B219" t="s">
        <v>23</v>
      </c>
      <c r="C219" t="s">
        <v>34</v>
      </c>
      <c r="D219" t="s">
        <v>38</v>
      </c>
      <c r="E219" t="s">
        <v>50</v>
      </c>
      <c r="F219" t="s">
        <v>55</v>
      </c>
      <c r="G219">
        <v>171</v>
      </c>
      <c r="H219">
        <v>62.7</v>
      </c>
      <c r="I219">
        <v>10721.7</v>
      </c>
      <c r="J219">
        <v>7600.37</v>
      </c>
      <c r="K219">
        <v>3121.33</v>
      </c>
      <c r="L219" s="2">
        <v>45139</v>
      </c>
    </row>
    <row r="220" spans="1:12" x14ac:dyDescent="0.3">
      <c r="A220" t="s">
        <v>14</v>
      </c>
      <c r="B220" t="s">
        <v>19</v>
      </c>
      <c r="C220" t="s">
        <v>35</v>
      </c>
      <c r="D220" t="s">
        <v>39</v>
      </c>
      <c r="E220" t="s">
        <v>49</v>
      </c>
      <c r="F220" t="s">
        <v>53</v>
      </c>
      <c r="G220">
        <v>434</v>
      </c>
      <c r="H220">
        <v>43.14</v>
      </c>
      <c r="I220">
        <v>18722.759999999998</v>
      </c>
      <c r="J220">
        <v>13173.82</v>
      </c>
      <c r="K220">
        <v>5548.94</v>
      </c>
      <c r="L220" s="2">
        <v>45139</v>
      </c>
    </row>
    <row r="221" spans="1:12" x14ac:dyDescent="0.3">
      <c r="A221" t="s">
        <v>14</v>
      </c>
      <c r="B221" t="s">
        <v>32</v>
      </c>
      <c r="C221" t="s">
        <v>35</v>
      </c>
      <c r="D221" t="s">
        <v>39</v>
      </c>
      <c r="E221" t="s">
        <v>52</v>
      </c>
      <c r="F221" t="s">
        <v>55</v>
      </c>
      <c r="G221">
        <v>319</v>
      </c>
      <c r="H221">
        <v>148.05000000000001</v>
      </c>
      <c r="I221">
        <v>47227.95</v>
      </c>
      <c r="J221">
        <v>36172.730000000003</v>
      </c>
      <c r="K221">
        <v>11055.22</v>
      </c>
      <c r="L221" s="2">
        <v>45139</v>
      </c>
    </row>
    <row r="222" spans="1:12" x14ac:dyDescent="0.3">
      <c r="A222" t="s">
        <v>15</v>
      </c>
      <c r="B222" t="s">
        <v>31</v>
      </c>
      <c r="C222" t="s">
        <v>35</v>
      </c>
      <c r="D222" t="s">
        <v>40</v>
      </c>
      <c r="E222" t="s">
        <v>51</v>
      </c>
      <c r="F222" t="s">
        <v>54</v>
      </c>
      <c r="G222">
        <v>303</v>
      </c>
      <c r="H222">
        <v>114.51</v>
      </c>
      <c r="I222">
        <v>34696.53</v>
      </c>
      <c r="J222">
        <v>21412.14</v>
      </c>
      <c r="K222">
        <v>13284.39</v>
      </c>
      <c r="L222" s="2">
        <v>45139</v>
      </c>
    </row>
    <row r="223" spans="1:12" x14ac:dyDescent="0.3">
      <c r="A223" t="s">
        <v>16</v>
      </c>
      <c r="B223" t="s">
        <v>25</v>
      </c>
      <c r="C223" t="s">
        <v>35</v>
      </c>
      <c r="D223" t="s">
        <v>40</v>
      </c>
      <c r="E223" t="s">
        <v>51</v>
      </c>
      <c r="F223" t="s">
        <v>54</v>
      </c>
      <c r="G223">
        <v>14</v>
      </c>
      <c r="H223">
        <v>154.22</v>
      </c>
      <c r="I223">
        <v>2159.08</v>
      </c>
      <c r="J223">
        <v>1419.73</v>
      </c>
      <c r="K223">
        <v>739.35</v>
      </c>
      <c r="L223" s="2">
        <v>45139</v>
      </c>
    </row>
    <row r="224" spans="1:12" x14ac:dyDescent="0.3">
      <c r="A224" t="s">
        <v>16</v>
      </c>
      <c r="B224" t="s">
        <v>25</v>
      </c>
      <c r="C224" t="s">
        <v>35</v>
      </c>
      <c r="D224" t="s">
        <v>44</v>
      </c>
      <c r="E224" t="s">
        <v>50</v>
      </c>
      <c r="F224" t="s">
        <v>53</v>
      </c>
      <c r="G224">
        <v>316</v>
      </c>
      <c r="H224">
        <v>140.6</v>
      </c>
      <c r="I224">
        <v>44429.599999999999</v>
      </c>
      <c r="J224">
        <v>34975.269999999997</v>
      </c>
      <c r="K224">
        <v>9454.33</v>
      </c>
      <c r="L224" s="2">
        <v>45139</v>
      </c>
    </row>
    <row r="225" spans="1:12" x14ac:dyDescent="0.3">
      <c r="A225" t="s">
        <v>14</v>
      </c>
      <c r="B225" t="s">
        <v>23</v>
      </c>
      <c r="C225" t="s">
        <v>35</v>
      </c>
      <c r="D225" t="s">
        <v>41</v>
      </c>
      <c r="E225" t="s">
        <v>50</v>
      </c>
      <c r="F225" t="s">
        <v>53</v>
      </c>
      <c r="G225">
        <v>445</v>
      </c>
      <c r="H225">
        <v>155.74</v>
      </c>
      <c r="I225">
        <v>69304.3</v>
      </c>
      <c r="J225">
        <v>48489.85</v>
      </c>
      <c r="K225">
        <v>20814.45</v>
      </c>
      <c r="L225" s="2">
        <v>45139</v>
      </c>
    </row>
    <row r="226" spans="1:12" x14ac:dyDescent="0.3">
      <c r="A226" t="s">
        <v>16</v>
      </c>
      <c r="B226" t="s">
        <v>22</v>
      </c>
      <c r="C226" t="s">
        <v>34</v>
      </c>
      <c r="D226" t="s">
        <v>37</v>
      </c>
      <c r="E226" t="s">
        <v>52</v>
      </c>
      <c r="F226" t="s">
        <v>54</v>
      </c>
      <c r="G226">
        <v>217</v>
      </c>
      <c r="H226">
        <v>167.54</v>
      </c>
      <c r="I226">
        <v>36356.18</v>
      </c>
      <c r="J226">
        <v>23261.1</v>
      </c>
      <c r="K226">
        <v>13095.08</v>
      </c>
      <c r="L226" s="2">
        <v>45139</v>
      </c>
    </row>
    <row r="227" spans="1:12" x14ac:dyDescent="0.3">
      <c r="A227" t="s">
        <v>14</v>
      </c>
      <c r="B227" t="s">
        <v>18</v>
      </c>
      <c r="C227" t="s">
        <v>35</v>
      </c>
      <c r="D227" t="s">
        <v>46</v>
      </c>
      <c r="E227" t="s">
        <v>51</v>
      </c>
      <c r="F227" t="s">
        <v>55</v>
      </c>
      <c r="G227">
        <v>151</v>
      </c>
      <c r="H227">
        <v>183.52</v>
      </c>
      <c r="I227">
        <v>27711.52</v>
      </c>
      <c r="J227">
        <v>18686.14</v>
      </c>
      <c r="K227">
        <v>9025.3799999999992</v>
      </c>
      <c r="L227" s="2">
        <v>45139</v>
      </c>
    </row>
    <row r="228" spans="1:12" x14ac:dyDescent="0.3">
      <c r="A228" t="s">
        <v>14</v>
      </c>
      <c r="B228" t="s">
        <v>23</v>
      </c>
      <c r="C228" t="s">
        <v>35</v>
      </c>
      <c r="D228" t="s">
        <v>41</v>
      </c>
      <c r="E228" t="s">
        <v>50</v>
      </c>
      <c r="F228" t="s">
        <v>53</v>
      </c>
      <c r="G228">
        <v>136</v>
      </c>
      <c r="H228">
        <v>25.76</v>
      </c>
      <c r="I228">
        <v>3503.36</v>
      </c>
      <c r="J228">
        <v>2757.71</v>
      </c>
      <c r="K228">
        <v>745.65</v>
      </c>
      <c r="L228" s="2">
        <v>45139</v>
      </c>
    </row>
    <row r="229" spans="1:12" x14ac:dyDescent="0.3">
      <c r="A229" t="s">
        <v>16</v>
      </c>
      <c r="B229" t="s">
        <v>25</v>
      </c>
      <c r="C229" t="s">
        <v>35</v>
      </c>
      <c r="D229" t="s">
        <v>44</v>
      </c>
      <c r="E229" t="s">
        <v>48</v>
      </c>
      <c r="F229" t="s">
        <v>53</v>
      </c>
      <c r="G229">
        <v>413</v>
      </c>
      <c r="H229">
        <v>241</v>
      </c>
      <c r="I229">
        <v>99533</v>
      </c>
      <c r="J229">
        <v>71701.64</v>
      </c>
      <c r="K229">
        <v>27831.360000000001</v>
      </c>
      <c r="L229" s="2">
        <v>45139</v>
      </c>
    </row>
    <row r="230" spans="1:12" x14ac:dyDescent="0.3">
      <c r="A230" t="s">
        <v>14</v>
      </c>
      <c r="B230" t="s">
        <v>32</v>
      </c>
      <c r="C230" t="s">
        <v>35</v>
      </c>
      <c r="D230" t="s">
        <v>40</v>
      </c>
      <c r="E230" t="s">
        <v>50</v>
      </c>
      <c r="F230" t="s">
        <v>55</v>
      </c>
      <c r="G230">
        <v>98</v>
      </c>
      <c r="H230">
        <v>181.95</v>
      </c>
      <c r="I230">
        <v>17831.099999999999</v>
      </c>
      <c r="J230">
        <v>13284.55</v>
      </c>
      <c r="K230">
        <v>4546.55</v>
      </c>
      <c r="L230" s="2">
        <v>45139</v>
      </c>
    </row>
    <row r="231" spans="1:12" x14ac:dyDescent="0.3">
      <c r="A231" t="s">
        <v>13</v>
      </c>
      <c r="B231" t="s">
        <v>27</v>
      </c>
      <c r="C231" t="s">
        <v>34</v>
      </c>
      <c r="D231" t="s">
        <v>43</v>
      </c>
      <c r="E231" t="s">
        <v>52</v>
      </c>
      <c r="F231" t="s">
        <v>53</v>
      </c>
      <c r="G231">
        <v>16</v>
      </c>
      <c r="H231">
        <v>265.67</v>
      </c>
      <c r="I231">
        <v>4250.72</v>
      </c>
      <c r="J231">
        <v>3572</v>
      </c>
      <c r="K231">
        <v>678.72</v>
      </c>
      <c r="L231" s="2">
        <v>45139</v>
      </c>
    </row>
    <row r="232" spans="1:12" x14ac:dyDescent="0.3">
      <c r="A232" t="s">
        <v>16</v>
      </c>
      <c r="B232" t="s">
        <v>28</v>
      </c>
      <c r="C232" t="s">
        <v>34</v>
      </c>
      <c r="D232" t="s">
        <v>36</v>
      </c>
      <c r="E232" t="s">
        <v>50</v>
      </c>
      <c r="F232" t="s">
        <v>53</v>
      </c>
      <c r="G232">
        <v>463</v>
      </c>
      <c r="H232">
        <v>84.54</v>
      </c>
      <c r="I232">
        <v>39142.019999999997</v>
      </c>
      <c r="J232">
        <v>31195.23</v>
      </c>
      <c r="K232">
        <v>7946.79</v>
      </c>
      <c r="L232" s="2">
        <v>45139</v>
      </c>
    </row>
    <row r="233" spans="1:12" x14ac:dyDescent="0.3">
      <c r="A233" t="s">
        <v>13</v>
      </c>
      <c r="B233" t="s">
        <v>26</v>
      </c>
      <c r="C233" t="s">
        <v>35</v>
      </c>
      <c r="D233" t="s">
        <v>42</v>
      </c>
      <c r="E233" t="s">
        <v>50</v>
      </c>
      <c r="F233" t="s">
        <v>55</v>
      </c>
      <c r="G233">
        <v>290</v>
      </c>
      <c r="H233">
        <v>199.86</v>
      </c>
      <c r="I233">
        <v>57959.4</v>
      </c>
      <c r="J233">
        <v>40282.86</v>
      </c>
      <c r="K233">
        <v>17676.54</v>
      </c>
      <c r="L233" s="2">
        <v>45139</v>
      </c>
    </row>
    <row r="234" spans="1:12" x14ac:dyDescent="0.3">
      <c r="A234" t="s">
        <v>16</v>
      </c>
      <c r="B234" t="s">
        <v>25</v>
      </c>
      <c r="C234" t="s">
        <v>34</v>
      </c>
      <c r="D234" t="s">
        <v>45</v>
      </c>
      <c r="E234" t="s">
        <v>51</v>
      </c>
      <c r="F234" t="s">
        <v>54</v>
      </c>
      <c r="G234">
        <v>434</v>
      </c>
      <c r="H234">
        <v>285.63</v>
      </c>
      <c r="I234">
        <v>123963.42</v>
      </c>
      <c r="J234">
        <v>92403.02</v>
      </c>
      <c r="K234">
        <v>31560.400000000001</v>
      </c>
      <c r="L234" s="2">
        <v>45139</v>
      </c>
    </row>
    <row r="235" spans="1:12" x14ac:dyDescent="0.3">
      <c r="A235" t="s">
        <v>15</v>
      </c>
      <c r="B235" t="s">
        <v>20</v>
      </c>
      <c r="C235" t="s">
        <v>34</v>
      </c>
      <c r="D235" t="s">
        <v>45</v>
      </c>
      <c r="E235" t="s">
        <v>49</v>
      </c>
      <c r="F235" t="s">
        <v>54</v>
      </c>
      <c r="G235">
        <v>50</v>
      </c>
      <c r="H235">
        <v>21.29</v>
      </c>
      <c r="I235">
        <v>1064.5</v>
      </c>
      <c r="J235">
        <v>648.29</v>
      </c>
      <c r="K235">
        <v>416.21</v>
      </c>
      <c r="L235" s="2">
        <v>45139</v>
      </c>
    </row>
    <row r="236" spans="1:12" x14ac:dyDescent="0.3">
      <c r="A236" t="s">
        <v>15</v>
      </c>
      <c r="B236" t="s">
        <v>31</v>
      </c>
      <c r="C236" t="s">
        <v>35</v>
      </c>
      <c r="D236" t="s">
        <v>41</v>
      </c>
      <c r="E236" t="s">
        <v>50</v>
      </c>
      <c r="F236" t="s">
        <v>54</v>
      </c>
      <c r="G236">
        <v>312</v>
      </c>
      <c r="H236">
        <v>68.27</v>
      </c>
      <c r="I236">
        <v>21300.240000000002</v>
      </c>
      <c r="J236">
        <v>15633.46</v>
      </c>
      <c r="K236">
        <v>5666.78</v>
      </c>
      <c r="L236" s="2">
        <v>45139</v>
      </c>
    </row>
    <row r="237" spans="1:12" x14ac:dyDescent="0.3">
      <c r="A237" t="s">
        <v>14</v>
      </c>
      <c r="B237" t="s">
        <v>32</v>
      </c>
      <c r="C237" t="s">
        <v>34</v>
      </c>
      <c r="D237" t="s">
        <v>43</v>
      </c>
      <c r="E237" t="s">
        <v>50</v>
      </c>
      <c r="F237" t="s">
        <v>55</v>
      </c>
      <c r="G237">
        <v>149</v>
      </c>
      <c r="H237">
        <v>299.85000000000002</v>
      </c>
      <c r="I237">
        <v>44677.65</v>
      </c>
      <c r="J237">
        <v>27977.23</v>
      </c>
      <c r="K237">
        <v>16700.419999999998</v>
      </c>
      <c r="L237" s="2">
        <v>45139</v>
      </c>
    </row>
    <row r="238" spans="1:12" x14ac:dyDescent="0.3">
      <c r="A238" t="s">
        <v>14</v>
      </c>
      <c r="B238" t="s">
        <v>18</v>
      </c>
      <c r="C238" t="s">
        <v>35</v>
      </c>
      <c r="D238" t="s">
        <v>44</v>
      </c>
      <c r="E238" t="s">
        <v>48</v>
      </c>
      <c r="F238" t="s">
        <v>53</v>
      </c>
      <c r="G238">
        <v>499</v>
      </c>
      <c r="H238">
        <v>196.92</v>
      </c>
      <c r="I238">
        <v>98263.08</v>
      </c>
      <c r="J238">
        <v>74929.710000000006</v>
      </c>
      <c r="K238">
        <v>23333.37</v>
      </c>
      <c r="L238" s="2">
        <v>45139</v>
      </c>
    </row>
    <row r="239" spans="1:12" x14ac:dyDescent="0.3">
      <c r="A239" t="s">
        <v>15</v>
      </c>
      <c r="B239" t="s">
        <v>20</v>
      </c>
      <c r="C239" t="s">
        <v>34</v>
      </c>
      <c r="D239" t="s">
        <v>37</v>
      </c>
      <c r="E239" t="s">
        <v>50</v>
      </c>
      <c r="F239" t="s">
        <v>55</v>
      </c>
      <c r="G239">
        <v>478</v>
      </c>
      <c r="H239">
        <v>127.85</v>
      </c>
      <c r="I239">
        <v>61112.3</v>
      </c>
      <c r="J239">
        <v>41617.32</v>
      </c>
      <c r="K239">
        <v>19494.98</v>
      </c>
      <c r="L239" s="2">
        <v>45139</v>
      </c>
    </row>
    <row r="240" spans="1:12" x14ac:dyDescent="0.3">
      <c r="A240" t="s">
        <v>14</v>
      </c>
      <c r="B240" t="s">
        <v>19</v>
      </c>
      <c r="C240" t="s">
        <v>34</v>
      </c>
      <c r="D240" t="s">
        <v>43</v>
      </c>
      <c r="E240" t="s">
        <v>49</v>
      </c>
      <c r="F240" t="s">
        <v>53</v>
      </c>
      <c r="G240">
        <v>71</v>
      </c>
      <c r="H240">
        <v>298.94</v>
      </c>
      <c r="I240">
        <v>21224.74</v>
      </c>
      <c r="J240">
        <v>17496.810000000001</v>
      </c>
      <c r="K240">
        <v>3727.93</v>
      </c>
      <c r="L240" s="2">
        <v>45139</v>
      </c>
    </row>
    <row r="241" spans="1:12" x14ac:dyDescent="0.3">
      <c r="A241" t="s">
        <v>16</v>
      </c>
      <c r="B241" t="s">
        <v>28</v>
      </c>
      <c r="C241" t="s">
        <v>34</v>
      </c>
      <c r="D241" t="s">
        <v>43</v>
      </c>
      <c r="E241" t="s">
        <v>49</v>
      </c>
      <c r="F241" t="s">
        <v>53</v>
      </c>
      <c r="G241">
        <v>46</v>
      </c>
      <c r="H241">
        <v>39.729999999999997</v>
      </c>
      <c r="I241">
        <v>1827.58</v>
      </c>
      <c r="J241">
        <v>1524.76</v>
      </c>
      <c r="K241">
        <v>302.82</v>
      </c>
      <c r="L241" s="2">
        <v>45139</v>
      </c>
    </row>
    <row r="242" spans="1:12" x14ac:dyDescent="0.3">
      <c r="A242" t="s">
        <v>13</v>
      </c>
      <c r="B242" t="s">
        <v>30</v>
      </c>
      <c r="C242" t="s">
        <v>35</v>
      </c>
      <c r="D242" t="s">
        <v>40</v>
      </c>
      <c r="E242" t="s">
        <v>49</v>
      </c>
      <c r="F242" t="s">
        <v>54</v>
      </c>
      <c r="G242">
        <v>251</v>
      </c>
      <c r="H242">
        <v>69.36</v>
      </c>
      <c r="I242">
        <v>17409.36</v>
      </c>
      <c r="J242">
        <v>13018.42</v>
      </c>
      <c r="K242">
        <v>4390.9399999999996</v>
      </c>
      <c r="L242" s="2">
        <v>45139</v>
      </c>
    </row>
    <row r="243" spans="1:12" x14ac:dyDescent="0.3">
      <c r="A243" t="s">
        <v>16</v>
      </c>
      <c r="B243" t="s">
        <v>28</v>
      </c>
      <c r="C243" t="s">
        <v>35</v>
      </c>
      <c r="D243" t="s">
        <v>46</v>
      </c>
      <c r="E243" t="s">
        <v>48</v>
      </c>
      <c r="F243" t="s">
        <v>53</v>
      </c>
      <c r="G243">
        <v>463</v>
      </c>
      <c r="H243">
        <v>102.25</v>
      </c>
      <c r="I243">
        <v>47341.75</v>
      </c>
      <c r="J243">
        <v>38659.730000000003</v>
      </c>
      <c r="K243">
        <v>8682.02</v>
      </c>
      <c r="L243" s="2">
        <v>45139</v>
      </c>
    </row>
    <row r="244" spans="1:12" x14ac:dyDescent="0.3">
      <c r="A244" t="s">
        <v>14</v>
      </c>
      <c r="B244" t="s">
        <v>32</v>
      </c>
      <c r="C244" t="s">
        <v>35</v>
      </c>
      <c r="D244" t="s">
        <v>46</v>
      </c>
      <c r="E244" t="s">
        <v>51</v>
      </c>
      <c r="F244" t="s">
        <v>55</v>
      </c>
      <c r="G244">
        <v>296</v>
      </c>
      <c r="H244">
        <v>222.87</v>
      </c>
      <c r="I244">
        <v>65969.52</v>
      </c>
      <c r="J244">
        <v>52158.74</v>
      </c>
      <c r="K244">
        <v>13810.78</v>
      </c>
      <c r="L244" s="2">
        <v>45139</v>
      </c>
    </row>
    <row r="245" spans="1:12" x14ac:dyDescent="0.3">
      <c r="A245" t="s">
        <v>15</v>
      </c>
      <c r="B245" t="s">
        <v>20</v>
      </c>
      <c r="C245" t="s">
        <v>35</v>
      </c>
      <c r="D245" t="s">
        <v>39</v>
      </c>
      <c r="E245" t="s">
        <v>50</v>
      </c>
      <c r="F245" t="s">
        <v>55</v>
      </c>
      <c r="G245">
        <v>403</v>
      </c>
      <c r="H245">
        <v>247.78</v>
      </c>
      <c r="I245">
        <v>99855.34</v>
      </c>
      <c r="J245">
        <v>65620.56</v>
      </c>
      <c r="K245">
        <v>34234.78</v>
      </c>
      <c r="L245" s="2">
        <v>45139</v>
      </c>
    </row>
    <row r="246" spans="1:12" x14ac:dyDescent="0.3">
      <c r="A246" t="s">
        <v>14</v>
      </c>
      <c r="B246" t="s">
        <v>18</v>
      </c>
      <c r="C246" t="s">
        <v>34</v>
      </c>
      <c r="D246" t="s">
        <v>45</v>
      </c>
      <c r="E246" t="s">
        <v>52</v>
      </c>
      <c r="F246" t="s">
        <v>55</v>
      </c>
      <c r="G246">
        <v>130</v>
      </c>
      <c r="H246">
        <v>114.47</v>
      </c>
      <c r="I246">
        <v>14881.1</v>
      </c>
      <c r="J246">
        <v>9934.6</v>
      </c>
      <c r="K246">
        <v>4946.5</v>
      </c>
      <c r="L246" s="2">
        <v>45139</v>
      </c>
    </row>
    <row r="247" spans="1:12" x14ac:dyDescent="0.3">
      <c r="A247" t="s">
        <v>13</v>
      </c>
      <c r="B247" t="s">
        <v>17</v>
      </c>
      <c r="C247" t="s">
        <v>34</v>
      </c>
      <c r="D247" t="s">
        <v>37</v>
      </c>
      <c r="E247" t="s">
        <v>51</v>
      </c>
      <c r="F247" t="s">
        <v>55</v>
      </c>
      <c r="G247">
        <v>219</v>
      </c>
      <c r="H247">
        <v>55.81</v>
      </c>
      <c r="I247">
        <v>12222.39</v>
      </c>
      <c r="J247">
        <v>9459.82</v>
      </c>
      <c r="K247">
        <v>2762.57</v>
      </c>
      <c r="L247" s="2">
        <v>45139</v>
      </c>
    </row>
    <row r="248" spans="1:12" x14ac:dyDescent="0.3">
      <c r="A248" t="s">
        <v>15</v>
      </c>
      <c r="B248" t="s">
        <v>21</v>
      </c>
      <c r="C248" t="s">
        <v>35</v>
      </c>
      <c r="D248" t="s">
        <v>40</v>
      </c>
      <c r="E248" t="s">
        <v>49</v>
      </c>
      <c r="F248" t="s">
        <v>54</v>
      </c>
      <c r="G248">
        <v>498</v>
      </c>
      <c r="H248">
        <v>283.77999999999997</v>
      </c>
      <c r="I248">
        <v>141322.44</v>
      </c>
      <c r="J248">
        <v>86186.44</v>
      </c>
      <c r="K248">
        <v>55136</v>
      </c>
      <c r="L248" s="2">
        <v>45139</v>
      </c>
    </row>
    <row r="249" spans="1:12" x14ac:dyDescent="0.3">
      <c r="A249" t="s">
        <v>13</v>
      </c>
      <c r="B249" t="s">
        <v>30</v>
      </c>
      <c r="C249" t="s">
        <v>35</v>
      </c>
      <c r="D249" t="s">
        <v>40</v>
      </c>
      <c r="E249" t="s">
        <v>52</v>
      </c>
      <c r="F249" t="s">
        <v>54</v>
      </c>
      <c r="G249">
        <v>212</v>
      </c>
      <c r="H249">
        <v>175.77</v>
      </c>
      <c r="I249">
        <v>37263.24</v>
      </c>
      <c r="J249">
        <v>24966.18</v>
      </c>
      <c r="K249">
        <v>12297.06</v>
      </c>
      <c r="L249" s="2">
        <v>45139</v>
      </c>
    </row>
    <row r="250" spans="1:12" x14ac:dyDescent="0.3">
      <c r="A250" t="s">
        <v>14</v>
      </c>
      <c r="B250" t="s">
        <v>19</v>
      </c>
      <c r="C250" t="s">
        <v>34</v>
      </c>
      <c r="D250" t="s">
        <v>36</v>
      </c>
      <c r="E250" t="s">
        <v>48</v>
      </c>
      <c r="F250" t="s">
        <v>55</v>
      </c>
      <c r="G250">
        <v>48</v>
      </c>
      <c r="H250">
        <v>12.75</v>
      </c>
      <c r="I250">
        <v>612</v>
      </c>
      <c r="J250">
        <v>375.26</v>
      </c>
      <c r="K250">
        <v>236.74</v>
      </c>
      <c r="L250" s="2">
        <v>45139</v>
      </c>
    </row>
    <row r="251" spans="1:12" x14ac:dyDescent="0.3">
      <c r="A251" t="s">
        <v>13</v>
      </c>
      <c r="B251" t="s">
        <v>26</v>
      </c>
      <c r="C251" t="s">
        <v>34</v>
      </c>
      <c r="D251" t="s">
        <v>43</v>
      </c>
      <c r="E251" t="s">
        <v>50</v>
      </c>
      <c r="F251" t="s">
        <v>55</v>
      </c>
      <c r="G251">
        <v>76</v>
      </c>
      <c r="H251">
        <v>198.16</v>
      </c>
      <c r="I251">
        <v>15060.16</v>
      </c>
      <c r="J251">
        <v>10841.74</v>
      </c>
      <c r="K251">
        <v>4218.42</v>
      </c>
      <c r="L251" s="2">
        <v>45170</v>
      </c>
    </row>
    <row r="252" spans="1:12" x14ac:dyDescent="0.3">
      <c r="A252" t="s">
        <v>15</v>
      </c>
      <c r="B252" t="s">
        <v>21</v>
      </c>
      <c r="C252" t="s">
        <v>35</v>
      </c>
      <c r="D252" t="s">
        <v>41</v>
      </c>
      <c r="E252" t="s">
        <v>52</v>
      </c>
      <c r="F252" t="s">
        <v>55</v>
      </c>
      <c r="G252">
        <v>356</v>
      </c>
      <c r="H252">
        <v>294.19</v>
      </c>
      <c r="I252">
        <v>104731.64</v>
      </c>
      <c r="J252">
        <v>78598</v>
      </c>
      <c r="K252">
        <v>26133.64</v>
      </c>
      <c r="L252" s="2">
        <v>45170</v>
      </c>
    </row>
    <row r="253" spans="1:12" x14ac:dyDescent="0.3">
      <c r="A253" t="s">
        <v>15</v>
      </c>
      <c r="B253" t="s">
        <v>33</v>
      </c>
      <c r="C253" t="s">
        <v>35</v>
      </c>
      <c r="D253" t="s">
        <v>44</v>
      </c>
      <c r="E253" t="s">
        <v>49</v>
      </c>
      <c r="F253" t="s">
        <v>54</v>
      </c>
      <c r="G253">
        <v>169</v>
      </c>
      <c r="H253">
        <v>15.33</v>
      </c>
      <c r="I253">
        <v>2590.77</v>
      </c>
      <c r="J253">
        <v>1866.88</v>
      </c>
      <c r="K253">
        <v>723.89</v>
      </c>
      <c r="L253" s="2">
        <v>45170</v>
      </c>
    </row>
    <row r="254" spans="1:12" x14ac:dyDescent="0.3">
      <c r="A254" t="s">
        <v>14</v>
      </c>
      <c r="B254" t="s">
        <v>18</v>
      </c>
      <c r="C254" t="s">
        <v>35</v>
      </c>
      <c r="D254" t="s">
        <v>41</v>
      </c>
      <c r="E254" t="s">
        <v>50</v>
      </c>
      <c r="F254" t="s">
        <v>55</v>
      </c>
      <c r="G254">
        <v>256</v>
      </c>
      <c r="H254">
        <v>47.65</v>
      </c>
      <c r="I254">
        <v>12198.4</v>
      </c>
      <c r="J254">
        <v>9413.69</v>
      </c>
      <c r="K254">
        <v>2784.71</v>
      </c>
      <c r="L254" s="2">
        <v>45170</v>
      </c>
    </row>
    <row r="255" spans="1:12" x14ac:dyDescent="0.3">
      <c r="A255" t="s">
        <v>14</v>
      </c>
      <c r="B255" t="s">
        <v>32</v>
      </c>
      <c r="C255" t="s">
        <v>35</v>
      </c>
      <c r="D255" t="s">
        <v>39</v>
      </c>
      <c r="E255" t="s">
        <v>48</v>
      </c>
      <c r="F255" t="s">
        <v>54</v>
      </c>
      <c r="G255">
        <v>113</v>
      </c>
      <c r="H255">
        <v>262.92</v>
      </c>
      <c r="I255">
        <v>29709.96</v>
      </c>
      <c r="J255">
        <v>24749.279999999999</v>
      </c>
      <c r="K255">
        <v>4960.68</v>
      </c>
      <c r="L255" s="2">
        <v>45170</v>
      </c>
    </row>
    <row r="256" spans="1:12" x14ac:dyDescent="0.3">
      <c r="A256" t="s">
        <v>14</v>
      </c>
      <c r="B256" t="s">
        <v>18</v>
      </c>
      <c r="C256" t="s">
        <v>35</v>
      </c>
      <c r="D256" t="s">
        <v>46</v>
      </c>
      <c r="E256" t="s">
        <v>51</v>
      </c>
      <c r="F256" t="s">
        <v>53</v>
      </c>
      <c r="G256">
        <v>316</v>
      </c>
      <c r="H256">
        <v>16.84</v>
      </c>
      <c r="I256">
        <v>5321.44</v>
      </c>
      <c r="J256">
        <v>4388.2700000000004</v>
      </c>
      <c r="K256">
        <v>933.17</v>
      </c>
      <c r="L256" s="2">
        <v>45170</v>
      </c>
    </row>
    <row r="257" spans="1:12" x14ac:dyDescent="0.3">
      <c r="A257" t="s">
        <v>15</v>
      </c>
      <c r="B257" t="s">
        <v>20</v>
      </c>
      <c r="C257" t="s">
        <v>34</v>
      </c>
      <c r="D257" t="s">
        <v>45</v>
      </c>
      <c r="E257" t="s">
        <v>51</v>
      </c>
      <c r="F257" t="s">
        <v>53</v>
      </c>
      <c r="G257">
        <v>490</v>
      </c>
      <c r="H257">
        <v>169.17</v>
      </c>
      <c r="I257">
        <v>82893.3</v>
      </c>
      <c r="J257">
        <v>55696.69</v>
      </c>
      <c r="K257">
        <v>27196.61</v>
      </c>
      <c r="L257" s="2">
        <v>45170</v>
      </c>
    </row>
    <row r="258" spans="1:12" x14ac:dyDescent="0.3">
      <c r="A258" t="s">
        <v>15</v>
      </c>
      <c r="B258" t="s">
        <v>20</v>
      </c>
      <c r="C258" t="s">
        <v>35</v>
      </c>
      <c r="D258" t="s">
        <v>47</v>
      </c>
      <c r="E258" t="s">
        <v>52</v>
      </c>
      <c r="F258" t="s">
        <v>54</v>
      </c>
      <c r="G258">
        <v>192</v>
      </c>
      <c r="H258">
        <v>130.68</v>
      </c>
      <c r="I258">
        <v>25090.560000000001</v>
      </c>
      <c r="J258">
        <v>18073.63</v>
      </c>
      <c r="K258">
        <v>7016.93</v>
      </c>
      <c r="L258" s="2">
        <v>45170</v>
      </c>
    </row>
    <row r="259" spans="1:12" x14ac:dyDescent="0.3">
      <c r="A259" t="s">
        <v>15</v>
      </c>
      <c r="B259" t="s">
        <v>21</v>
      </c>
      <c r="C259" t="s">
        <v>34</v>
      </c>
      <c r="D259" t="s">
        <v>36</v>
      </c>
      <c r="E259" t="s">
        <v>52</v>
      </c>
      <c r="F259" t="s">
        <v>53</v>
      </c>
      <c r="G259">
        <v>210</v>
      </c>
      <c r="H259">
        <v>40.56</v>
      </c>
      <c r="I259">
        <v>8517.6</v>
      </c>
      <c r="J259">
        <v>6775.38</v>
      </c>
      <c r="K259">
        <v>1742.22</v>
      </c>
      <c r="L259" s="2">
        <v>45170</v>
      </c>
    </row>
    <row r="260" spans="1:12" x14ac:dyDescent="0.3">
      <c r="A260" t="s">
        <v>15</v>
      </c>
      <c r="B260" t="s">
        <v>33</v>
      </c>
      <c r="C260" t="s">
        <v>35</v>
      </c>
      <c r="D260" t="s">
        <v>44</v>
      </c>
      <c r="E260" t="s">
        <v>49</v>
      </c>
      <c r="F260" t="s">
        <v>55</v>
      </c>
      <c r="G260">
        <v>122</v>
      </c>
      <c r="H260">
        <v>30.59</v>
      </c>
      <c r="I260">
        <v>3731.98</v>
      </c>
      <c r="J260">
        <v>2314</v>
      </c>
      <c r="K260">
        <v>1417.98</v>
      </c>
      <c r="L260" s="2">
        <v>45170</v>
      </c>
    </row>
    <row r="261" spans="1:12" x14ac:dyDescent="0.3">
      <c r="A261" t="s">
        <v>13</v>
      </c>
      <c r="B261" t="s">
        <v>27</v>
      </c>
      <c r="C261" t="s">
        <v>34</v>
      </c>
      <c r="D261" t="s">
        <v>45</v>
      </c>
      <c r="E261" t="s">
        <v>48</v>
      </c>
      <c r="F261" t="s">
        <v>53</v>
      </c>
      <c r="G261">
        <v>14</v>
      </c>
      <c r="H261">
        <v>110.07</v>
      </c>
      <c r="I261">
        <v>1540.98</v>
      </c>
      <c r="J261">
        <v>1058.51</v>
      </c>
      <c r="K261">
        <v>482.47</v>
      </c>
      <c r="L261" s="2">
        <v>45170</v>
      </c>
    </row>
    <row r="262" spans="1:12" x14ac:dyDescent="0.3">
      <c r="A262" t="s">
        <v>16</v>
      </c>
      <c r="B262" t="s">
        <v>24</v>
      </c>
      <c r="C262" t="s">
        <v>35</v>
      </c>
      <c r="D262" t="s">
        <v>42</v>
      </c>
      <c r="E262" t="s">
        <v>51</v>
      </c>
      <c r="F262" t="s">
        <v>53</v>
      </c>
      <c r="G262">
        <v>123</v>
      </c>
      <c r="H262">
        <v>80.8</v>
      </c>
      <c r="I262">
        <v>9938.4</v>
      </c>
      <c r="J262">
        <v>8027.44</v>
      </c>
      <c r="K262">
        <v>1910.96</v>
      </c>
      <c r="L262" s="2">
        <v>45170</v>
      </c>
    </row>
    <row r="263" spans="1:12" x14ac:dyDescent="0.3">
      <c r="A263" t="s">
        <v>15</v>
      </c>
      <c r="B263" t="s">
        <v>31</v>
      </c>
      <c r="C263" t="s">
        <v>35</v>
      </c>
      <c r="D263" t="s">
        <v>46</v>
      </c>
      <c r="E263" t="s">
        <v>52</v>
      </c>
      <c r="F263" t="s">
        <v>53</v>
      </c>
      <c r="G263">
        <v>345</v>
      </c>
      <c r="H263">
        <v>197.77</v>
      </c>
      <c r="I263">
        <v>68230.649999999994</v>
      </c>
      <c r="J263">
        <v>56256.69</v>
      </c>
      <c r="K263">
        <v>11973.96</v>
      </c>
      <c r="L263" s="2">
        <v>45170</v>
      </c>
    </row>
    <row r="264" spans="1:12" x14ac:dyDescent="0.3">
      <c r="A264" t="s">
        <v>16</v>
      </c>
      <c r="B264" t="s">
        <v>24</v>
      </c>
      <c r="C264" t="s">
        <v>35</v>
      </c>
      <c r="D264" t="s">
        <v>46</v>
      </c>
      <c r="E264" t="s">
        <v>49</v>
      </c>
      <c r="F264" t="s">
        <v>54</v>
      </c>
      <c r="G264">
        <v>337</v>
      </c>
      <c r="H264">
        <v>47.37</v>
      </c>
      <c r="I264">
        <v>15963.69</v>
      </c>
      <c r="J264">
        <v>11225.51</v>
      </c>
      <c r="K264">
        <v>4738.18</v>
      </c>
      <c r="L264" s="2">
        <v>45170</v>
      </c>
    </row>
    <row r="265" spans="1:12" x14ac:dyDescent="0.3">
      <c r="A265" t="s">
        <v>16</v>
      </c>
      <c r="B265" t="s">
        <v>28</v>
      </c>
      <c r="C265" t="s">
        <v>34</v>
      </c>
      <c r="D265" t="s">
        <v>38</v>
      </c>
      <c r="E265" t="s">
        <v>48</v>
      </c>
      <c r="F265" t="s">
        <v>53</v>
      </c>
      <c r="G265">
        <v>169</v>
      </c>
      <c r="H265">
        <v>151.47999999999999</v>
      </c>
      <c r="I265">
        <v>25600.12</v>
      </c>
      <c r="J265">
        <v>16062.39</v>
      </c>
      <c r="K265">
        <v>9537.73</v>
      </c>
      <c r="L265" s="2">
        <v>45170</v>
      </c>
    </row>
    <row r="266" spans="1:12" x14ac:dyDescent="0.3">
      <c r="A266" t="s">
        <v>14</v>
      </c>
      <c r="B266" t="s">
        <v>18</v>
      </c>
      <c r="C266" t="s">
        <v>35</v>
      </c>
      <c r="D266" t="s">
        <v>44</v>
      </c>
      <c r="E266" t="s">
        <v>51</v>
      </c>
      <c r="F266" t="s">
        <v>55</v>
      </c>
      <c r="G266">
        <v>42</v>
      </c>
      <c r="H266">
        <v>92.87</v>
      </c>
      <c r="I266">
        <v>3900.54</v>
      </c>
      <c r="J266">
        <v>2762.33</v>
      </c>
      <c r="K266">
        <v>1138.21</v>
      </c>
      <c r="L266" s="2">
        <v>45170</v>
      </c>
    </row>
    <row r="267" spans="1:12" x14ac:dyDescent="0.3">
      <c r="A267" t="s">
        <v>13</v>
      </c>
      <c r="B267" t="s">
        <v>27</v>
      </c>
      <c r="C267" t="s">
        <v>35</v>
      </c>
      <c r="D267" t="s">
        <v>41</v>
      </c>
      <c r="E267" t="s">
        <v>49</v>
      </c>
      <c r="F267" t="s">
        <v>55</v>
      </c>
      <c r="G267">
        <v>24</v>
      </c>
      <c r="H267">
        <v>184.56</v>
      </c>
      <c r="I267">
        <v>4429.4399999999996</v>
      </c>
      <c r="J267">
        <v>3646.01</v>
      </c>
      <c r="K267">
        <v>783.43</v>
      </c>
      <c r="L267" s="2">
        <v>45170</v>
      </c>
    </row>
    <row r="268" spans="1:12" x14ac:dyDescent="0.3">
      <c r="A268" t="s">
        <v>16</v>
      </c>
      <c r="B268" t="s">
        <v>24</v>
      </c>
      <c r="C268" t="s">
        <v>34</v>
      </c>
      <c r="D268" t="s">
        <v>37</v>
      </c>
      <c r="E268" t="s">
        <v>50</v>
      </c>
      <c r="F268" t="s">
        <v>54</v>
      </c>
      <c r="G268">
        <v>78</v>
      </c>
      <c r="H268">
        <v>123.63</v>
      </c>
      <c r="I268">
        <v>9643.14</v>
      </c>
      <c r="J268">
        <v>7103.86</v>
      </c>
      <c r="K268">
        <v>2539.2800000000002</v>
      </c>
      <c r="L268" s="2">
        <v>45170</v>
      </c>
    </row>
    <row r="269" spans="1:12" x14ac:dyDescent="0.3">
      <c r="A269" t="s">
        <v>15</v>
      </c>
      <c r="B269" t="s">
        <v>33</v>
      </c>
      <c r="C269" t="s">
        <v>34</v>
      </c>
      <c r="D269" t="s">
        <v>37</v>
      </c>
      <c r="E269" t="s">
        <v>49</v>
      </c>
      <c r="F269" t="s">
        <v>54</v>
      </c>
      <c r="G269">
        <v>90</v>
      </c>
      <c r="H269">
        <v>27.84</v>
      </c>
      <c r="I269">
        <v>2505.6</v>
      </c>
      <c r="J269">
        <v>2056.41</v>
      </c>
      <c r="K269">
        <v>449.19</v>
      </c>
      <c r="L269" s="2">
        <v>45170</v>
      </c>
    </row>
    <row r="270" spans="1:12" x14ac:dyDescent="0.3">
      <c r="A270" t="s">
        <v>16</v>
      </c>
      <c r="B270" t="s">
        <v>22</v>
      </c>
      <c r="C270" t="s">
        <v>34</v>
      </c>
      <c r="D270" t="s">
        <v>43</v>
      </c>
      <c r="E270" t="s">
        <v>48</v>
      </c>
      <c r="F270" t="s">
        <v>55</v>
      </c>
      <c r="G270">
        <v>251</v>
      </c>
      <c r="H270">
        <v>289.88</v>
      </c>
      <c r="I270">
        <v>72759.88</v>
      </c>
      <c r="J270">
        <v>43745.79</v>
      </c>
      <c r="K270">
        <v>29014.09</v>
      </c>
      <c r="L270" s="2">
        <v>45170</v>
      </c>
    </row>
    <row r="271" spans="1:12" x14ac:dyDescent="0.3">
      <c r="A271" t="s">
        <v>14</v>
      </c>
      <c r="B271" t="s">
        <v>32</v>
      </c>
      <c r="C271" t="s">
        <v>35</v>
      </c>
      <c r="D271" t="s">
        <v>42</v>
      </c>
      <c r="E271" t="s">
        <v>50</v>
      </c>
      <c r="F271" t="s">
        <v>55</v>
      </c>
      <c r="G271">
        <v>59</v>
      </c>
      <c r="H271">
        <v>57.94</v>
      </c>
      <c r="I271">
        <v>3418.46</v>
      </c>
      <c r="J271">
        <v>2649.52</v>
      </c>
      <c r="K271">
        <v>768.94</v>
      </c>
      <c r="L271" s="2">
        <v>45170</v>
      </c>
    </row>
    <row r="272" spans="1:12" x14ac:dyDescent="0.3">
      <c r="A272" t="s">
        <v>14</v>
      </c>
      <c r="B272" t="s">
        <v>18</v>
      </c>
      <c r="C272" t="s">
        <v>34</v>
      </c>
      <c r="D272" t="s">
        <v>37</v>
      </c>
      <c r="E272" t="s">
        <v>49</v>
      </c>
      <c r="F272" t="s">
        <v>55</v>
      </c>
      <c r="G272">
        <v>286</v>
      </c>
      <c r="H272">
        <v>114.03</v>
      </c>
      <c r="I272">
        <v>32612.58</v>
      </c>
      <c r="J272">
        <v>26126.240000000002</v>
      </c>
      <c r="K272">
        <v>6486.34</v>
      </c>
      <c r="L272" s="2">
        <v>45170</v>
      </c>
    </row>
    <row r="273" spans="1:12" x14ac:dyDescent="0.3">
      <c r="A273" t="s">
        <v>16</v>
      </c>
      <c r="B273" t="s">
        <v>28</v>
      </c>
      <c r="C273" t="s">
        <v>34</v>
      </c>
      <c r="D273" t="s">
        <v>37</v>
      </c>
      <c r="E273" t="s">
        <v>51</v>
      </c>
      <c r="F273" t="s">
        <v>55</v>
      </c>
      <c r="G273">
        <v>353</v>
      </c>
      <c r="H273">
        <v>35.26</v>
      </c>
      <c r="I273">
        <v>12446.78</v>
      </c>
      <c r="J273">
        <v>9388.19</v>
      </c>
      <c r="K273">
        <v>3058.59</v>
      </c>
      <c r="L273" s="2">
        <v>45170</v>
      </c>
    </row>
    <row r="274" spans="1:12" x14ac:dyDescent="0.3">
      <c r="A274" t="s">
        <v>14</v>
      </c>
      <c r="B274" t="s">
        <v>19</v>
      </c>
      <c r="C274" t="s">
        <v>35</v>
      </c>
      <c r="D274" t="s">
        <v>47</v>
      </c>
      <c r="E274" t="s">
        <v>48</v>
      </c>
      <c r="F274" t="s">
        <v>55</v>
      </c>
      <c r="G274">
        <v>16</v>
      </c>
      <c r="H274">
        <v>29.03</v>
      </c>
      <c r="I274">
        <v>464.48</v>
      </c>
      <c r="J274">
        <v>374.08</v>
      </c>
      <c r="K274">
        <v>90.4</v>
      </c>
      <c r="L274" s="2">
        <v>45170</v>
      </c>
    </row>
    <row r="275" spans="1:12" x14ac:dyDescent="0.3">
      <c r="A275" t="s">
        <v>14</v>
      </c>
      <c r="B275" t="s">
        <v>19</v>
      </c>
      <c r="C275" t="s">
        <v>34</v>
      </c>
      <c r="D275" t="s">
        <v>38</v>
      </c>
      <c r="E275" t="s">
        <v>52</v>
      </c>
      <c r="F275" t="s">
        <v>53</v>
      </c>
      <c r="G275">
        <v>16</v>
      </c>
      <c r="H275">
        <v>35.06</v>
      </c>
      <c r="I275">
        <v>560.96</v>
      </c>
      <c r="J275">
        <v>369.78</v>
      </c>
      <c r="K275">
        <v>191.18</v>
      </c>
      <c r="L275" s="2">
        <v>45170</v>
      </c>
    </row>
    <row r="276" spans="1:12" x14ac:dyDescent="0.3">
      <c r="A276" t="s">
        <v>13</v>
      </c>
      <c r="B276" t="s">
        <v>26</v>
      </c>
      <c r="C276" t="s">
        <v>34</v>
      </c>
      <c r="D276" t="s">
        <v>43</v>
      </c>
      <c r="E276" t="s">
        <v>51</v>
      </c>
      <c r="F276" t="s">
        <v>54</v>
      </c>
      <c r="G276">
        <v>341</v>
      </c>
      <c r="H276">
        <v>233.85</v>
      </c>
      <c r="I276">
        <v>79742.850000000006</v>
      </c>
      <c r="J276">
        <v>48088.99</v>
      </c>
      <c r="K276">
        <v>31653.86</v>
      </c>
      <c r="L276" s="2">
        <v>45170</v>
      </c>
    </row>
    <row r="277" spans="1:12" x14ac:dyDescent="0.3">
      <c r="A277" t="s">
        <v>16</v>
      </c>
      <c r="B277" t="s">
        <v>28</v>
      </c>
      <c r="C277" t="s">
        <v>34</v>
      </c>
      <c r="D277" t="s">
        <v>37</v>
      </c>
      <c r="E277" t="s">
        <v>52</v>
      </c>
      <c r="F277" t="s">
        <v>54</v>
      </c>
      <c r="G277">
        <v>276</v>
      </c>
      <c r="H277">
        <v>182.3</v>
      </c>
      <c r="I277">
        <v>50314.8</v>
      </c>
      <c r="J277">
        <v>34979.99</v>
      </c>
      <c r="K277">
        <v>15334.81</v>
      </c>
      <c r="L277" s="2">
        <v>45170</v>
      </c>
    </row>
    <row r="278" spans="1:12" x14ac:dyDescent="0.3">
      <c r="A278" t="s">
        <v>13</v>
      </c>
      <c r="B278" t="s">
        <v>30</v>
      </c>
      <c r="C278" t="s">
        <v>34</v>
      </c>
      <c r="D278" t="s">
        <v>36</v>
      </c>
      <c r="E278" t="s">
        <v>50</v>
      </c>
      <c r="F278" t="s">
        <v>55</v>
      </c>
      <c r="G278">
        <v>263</v>
      </c>
      <c r="H278">
        <v>273.45</v>
      </c>
      <c r="I278">
        <v>71917.350000000006</v>
      </c>
      <c r="J278">
        <v>53639.41</v>
      </c>
      <c r="K278">
        <v>18277.939999999999</v>
      </c>
      <c r="L278" s="2">
        <v>45170</v>
      </c>
    </row>
    <row r="279" spans="1:12" x14ac:dyDescent="0.3">
      <c r="A279" t="s">
        <v>15</v>
      </c>
      <c r="B279" t="s">
        <v>29</v>
      </c>
      <c r="C279" t="s">
        <v>35</v>
      </c>
      <c r="D279" t="s">
        <v>44</v>
      </c>
      <c r="E279" t="s">
        <v>51</v>
      </c>
      <c r="F279" t="s">
        <v>53</v>
      </c>
      <c r="G279">
        <v>49</v>
      </c>
      <c r="H279">
        <v>157.04</v>
      </c>
      <c r="I279">
        <v>7694.96</v>
      </c>
      <c r="J279">
        <v>5767.59</v>
      </c>
      <c r="K279">
        <v>1927.37</v>
      </c>
      <c r="L279" s="2">
        <v>45170</v>
      </c>
    </row>
    <row r="280" spans="1:12" x14ac:dyDescent="0.3">
      <c r="A280" t="s">
        <v>13</v>
      </c>
      <c r="B280" t="s">
        <v>27</v>
      </c>
      <c r="C280" t="s">
        <v>35</v>
      </c>
      <c r="D280" t="s">
        <v>39</v>
      </c>
      <c r="E280" t="s">
        <v>48</v>
      </c>
      <c r="F280" t="s">
        <v>54</v>
      </c>
      <c r="G280">
        <v>474</v>
      </c>
      <c r="H280">
        <v>207.42</v>
      </c>
      <c r="I280">
        <v>98317.08</v>
      </c>
      <c r="J280">
        <v>70463.41</v>
      </c>
      <c r="K280">
        <v>27853.67</v>
      </c>
      <c r="L280" s="2">
        <v>45170</v>
      </c>
    </row>
    <row r="281" spans="1:12" x14ac:dyDescent="0.3">
      <c r="A281" t="s">
        <v>13</v>
      </c>
      <c r="B281" t="s">
        <v>26</v>
      </c>
      <c r="C281" t="s">
        <v>34</v>
      </c>
      <c r="D281" t="s">
        <v>45</v>
      </c>
      <c r="E281" t="s">
        <v>49</v>
      </c>
      <c r="F281" t="s">
        <v>53</v>
      </c>
      <c r="G281">
        <v>252</v>
      </c>
      <c r="H281">
        <v>15.29</v>
      </c>
      <c r="I281">
        <v>3853.08</v>
      </c>
      <c r="J281">
        <v>2983.21</v>
      </c>
      <c r="K281">
        <v>869.87</v>
      </c>
      <c r="L281" s="2">
        <v>45200</v>
      </c>
    </row>
    <row r="282" spans="1:12" x14ac:dyDescent="0.3">
      <c r="A282" t="s">
        <v>16</v>
      </c>
      <c r="B282" t="s">
        <v>22</v>
      </c>
      <c r="C282" t="s">
        <v>34</v>
      </c>
      <c r="D282" t="s">
        <v>37</v>
      </c>
      <c r="E282" t="s">
        <v>50</v>
      </c>
      <c r="F282" t="s">
        <v>55</v>
      </c>
      <c r="G282">
        <v>235</v>
      </c>
      <c r="H282">
        <v>147.13999999999999</v>
      </c>
      <c r="I282">
        <v>34577.9</v>
      </c>
      <c r="J282">
        <v>25374.63</v>
      </c>
      <c r="K282">
        <v>9203.27</v>
      </c>
      <c r="L282" s="2">
        <v>45200</v>
      </c>
    </row>
    <row r="283" spans="1:12" x14ac:dyDescent="0.3">
      <c r="A283" t="s">
        <v>13</v>
      </c>
      <c r="B283" t="s">
        <v>30</v>
      </c>
      <c r="C283" t="s">
        <v>35</v>
      </c>
      <c r="D283" t="s">
        <v>40</v>
      </c>
      <c r="E283" t="s">
        <v>51</v>
      </c>
      <c r="F283" t="s">
        <v>54</v>
      </c>
      <c r="G283">
        <v>160</v>
      </c>
      <c r="H283">
        <v>47.13</v>
      </c>
      <c r="I283">
        <v>7540.8</v>
      </c>
      <c r="J283">
        <v>4810.8500000000004</v>
      </c>
      <c r="K283">
        <v>2729.95</v>
      </c>
      <c r="L283" s="2">
        <v>45200</v>
      </c>
    </row>
    <row r="284" spans="1:12" x14ac:dyDescent="0.3">
      <c r="A284" t="s">
        <v>16</v>
      </c>
      <c r="B284" t="s">
        <v>28</v>
      </c>
      <c r="C284" t="s">
        <v>34</v>
      </c>
      <c r="D284" t="s">
        <v>38</v>
      </c>
      <c r="E284" t="s">
        <v>52</v>
      </c>
      <c r="F284" t="s">
        <v>55</v>
      </c>
      <c r="G284">
        <v>297</v>
      </c>
      <c r="H284">
        <v>47.04</v>
      </c>
      <c r="I284">
        <v>13970.88</v>
      </c>
      <c r="J284">
        <v>11267.75</v>
      </c>
      <c r="K284">
        <v>2703.13</v>
      </c>
      <c r="L284" s="2">
        <v>45200</v>
      </c>
    </row>
    <row r="285" spans="1:12" x14ac:dyDescent="0.3">
      <c r="A285" t="s">
        <v>13</v>
      </c>
      <c r="B285" t="s">
        <v>27</v>
      </c>
      <c r="C285" t="s">
        <v>35</v>
      </c>
      <c r="D285" t="s">
        <v>44</v>
      </c>
      <c r="E285" t="s">
        <v>51</v>
      </c>
      <c r="F285" t="s">
        <v>53</v>
      </c>
      <c r="G285">
        <v>427</v>
      </c>
      <c r="H285">
        <v>254.1</v>
      </c>
      <c r="I285">
        <v>108500.7</v>
      </c>
      <c r="J285">
        <v>80839.03</v>
      </c>
      <c r="K285">
        <v>27661.67</v>
      </c>
      <c r="L285" s="2">
        <v>45200</v>
      </c>
    </row>
    <row r="286" spans="1:12" x14ac:dyDescent="0.3">
      <c r="A286" t="s">
        <v>15</v>
      </c>
      <c r="B286" t="s">
        <v>29</v>
      </c>
      <c r="C286" t="s">
        <v>34</v>
      </c>
      <c r="D286" t="s">
        <v>38</v>
      </c>
      <c r="E286" t="s">
        <v>51</v>
      </c>
      <c r="F286" t="s">
        <v>54</v>
      </c>
      <c r="G286">
        <v>17</v>
      </c>
      <c r="H286">
        <v>21.44</v>
      </c>
      <c r="I286">
        <v>364.48</v>
      </c>
      <c r="J286">
        <v>262.02</v>
      </c>
      <c r="K286">
        <v>102.46</v>
      </c>
      <c r="L286" s="2">
        <v>45200</v>
      </c>
    </row>
    <row r="287" spans="1:12" x14ac:dyDescent="0.3">
      <c r="A287" t="s">
        <v>13</v>
      </c>
      <c r="B287" t="s">
        <v>26</v>
      </c>
      <c r="C287" t="s">
        <v>35</v>
      </c>
      <c r="D287" t="s">
        <v>47</v>
      </c>
      <c r="E287" t="s">
        <v>51</v>
      </c>
      <c r="F287" t="s">
        <v>55</v>
      </c>
      <c r="G287">
        <v>18</v>
      </c>
      <c r="H287">
        <v>281.5</v>
      </c>
      <c r="I287">
        <v>5067</v>
      </c>
      <c r="J287">
        <v>3106.03</v>
      </c>
      <c r="K287">
        <v>1960.97</v>
      </c>
      <c r="L287" s="2">
        <v>45200</v>
      </c>
    </row>
    <row r="288" spans="1:12" x14ac:dyDescent="0.3">
      <c r="A288" t="s">
        <v>16</v>
      </c>
      <c r="B288" t="s">
        <v>22</v>
      </c>
      <c r="C288" t="s">
        <v>35</v>
      </c>
      <c r="D288" t="s">
        <v>44</v>
      </c>
      <c r="E288" t="s">
        <v>51</v>
      </c>
      <c r="F288" t="s">
        <v>54</v>
      </c>
      <c r="G288">
        <v>187</v>
      </c>
      <c r="H288">
        <v>26.76</v>
      </c>
      <c r="I288">
        <v>5004.12</v>
      </c>
      <c r="J288">
        <v>3871.98</v>
      </c>
      <c r="K288">
        <v>1132.1400000000001</v>
      </c>
      <c r="L288" s="2">
        <v>45200</v>
      </c>
    </row>
    <row r="289" spans="1:12" x14ac:dyDescent="0.3">
      <c r="A289" t="s">
        <v>14</v>
      </c>
      <c r="B289" t="s">
        <v>18</v>
      </c>
      <c r="C289" t="s">
        <v>34</v>
      </c>
      <c r="D289" t="s">
        <v>45</v>
      </c>
      <c r="E289" t="s">
        <v>52</v>
      </c>
      <c r="F289" t="s">
        <v>54</v>
      </c>
      <c r="G289">
        <v>14</v>
      </c>
      <c r="H289">
        <v>223.78</v>
      </c>
      <c r="I289">
        <v>3132.92</v>
      </c>
      <c r="J289">
        <v>2481.7399999999998</v>
      </c>
      <c r="K289">
        <v>651.17999999999995</v>
      </c>
      <c r="L289" s="2">
        <v>45200</v>
      </c>
    </row>
    <row r="290" spans="1:12" x14ac:dyDescent="0.3">
      <c r="A290" t="s">
        <v>13</v>
      </c>
      <c r="B290" t="s">
        <v>26</v>
      </c>
      <c r="C290" t="s">
        <v>34</v>
      </c>
      <c r="D290" t="s">
        <v>45</v>
      </c>
      <c r="E290" t="s">
        <v>51</v>
      </c>
      <c r="F290" t="s">
        <v>55</v>
      </c>
      <c r="G290">
        <v>418</v>
      </c>
      <c r="H290">
        <v>257.14</v>
      </c>
      <c r="I290">
        <v>107484.52</v>
      </c>
      <c r="J290">
        <v>65442.55</v>
      </c>
      <c r="K290">
        <v>42041.97</v>
      </c>
      <c r="L290" s="2">
        <v>45200</v>
      </c>
    </row>
    <row r="291" spans="1:12" x14ac:dyDescent="0.3">
      <c r="A291" t="s">
        <v>13</v>
      </c>
      <c r="B291" t="s">
        <v>17</v>
      </c>
      <c r="C291" t="s">
        <v>35</v>
      </c>
      <c r="D291" t="s">
        <v>42</v>
      </c>
      <c r="E291" t="s">
        <v>52</v>
      </c>
      <c r="F291" t="s">
        <v>54</v>
      </c>
      <c r="G291">
        <v>75</v>
      </c>
      <c r="H291">
        <v>120.46</v>
      </c>
      <c r="I291">
        <v>9034.5</v>
      </c>
      <c r="J291">
        <v>6202.91</v>
      </c>
      <c r="K291">
        <v>2831.59</v>
      </c>
      <c r="L291" s="2">
        <v>45200</v>
      </c>
    </row>
    <row r="292" spans="1:12" x14ac:dyDescent="0.3">
      <c r="A292" t="s">
        <v>16</v>
      </c>
      <c r="B292" t="s">
        <v>22</v>
      </c>
      <c r="C292" t="s">
        <v>35</v>
      </c>
      <c r="D292" t="s">
        <v>39</v>
      </c>
      <c r="E292" t="s">
        <v>49</v>
      </c>
      <c r="F292" t="s">
        <v>54</v>
      </c>
      <c r="G292">
        <v>485</v>
      </c>
      <c r="H292">
        <v>248.15</v>
      </c>
      <c r="I292">
        <v>120352.75</v>
      </c>
      <c r="J292">
        <v>72258.740000000005</v>
      </c>
      <c r="K292">
        <v>48094.01</v>
      </c>
      <c r="L292" s="2">
        <v>45200</v>
      </c>
    </row>
    <row r="293" spans="1:12" x14ac:dyDescent="0.3">
      <c r="A293" t="s">
        <v>14</v>
      </c>
      <c r="B293" t="s">
        <v>32</v>
      </c>
      <c r="C293" t="s">
        <v>35</v>
      </c>
      <c r="D293" t="s">
        <v>42</v>
      </c>
      <c r="E293" t="s">
        <v>50</v>
      </c>
      <c r="F293" t="s">
        <v>55</v>
      </c>
      <c r="G293">
        <v>165</v>
      </c>
      <c r="H293">
        <v>249.53</v>
      </c>
      <c r="I293">
        <v>41172.449999999997</v>
      </c>
      <c r="J293">
        <v>25739.34</v>
      </c>
      <c r="K293">
        <v>15433.11</v>
      </c>
      <c r="L293" s="2">
        <v>45200</v>
      </c>
    </row>
    <row r="294" spans="1:12" x14ac:dyDescent="0.3">
      <c r="A294" t="s">
        <v>15</v>
      </c>
      <c r="B294" t="s">
        <v>31</v>
      </c>
      <c r="C294" t="s">
        <v>34</v>
      </c>
      <c r="D294" t="s">
        <v>38</v>
      </c>
      <c r="E294" t="s">
        <v>50</v>
      </c>
      <c r="F294" t="s">
        <v>54</v>
      </c>
      <c r="G294">
        <v>437</v>
      </c>
      <c r="H294">
        <v>158.54</v>
      </c>
      <c r="I294">
        <v>69281.98</v>
      </c>
      <c r="J294">
        <v>53351.07</v>
      </c>
      <c r="K294">
        <v>15930.91</v>
      </c>
      <c r="L294" s="2">
        <v>45200</v>
      </c>
    </row>
    <row r="295" spans="1:12" x14ac:dyDescent="0.3">
      <c r="A295" t="s">
        <v>13</v>
      </c>
      <c r="B295" t="s">
        <v>30</v>
      </c>
      <c r="C295" t="s">
        <v>34</v>
      </c>
      <c r="D295" t="s">
        <v>36</v>
      </c>
      <c r="E295" t="s">
        <v>50</v>
      </c>
      <c r="F295" t="s">
        <v>53</v>
      </c>
      <c r="G295">
        <v>76</v>
      </c>
      <c r="H295">
        <v>267.36</v>
      </c>
      <c r="I295">
        <v>20319.36</v>
      </c>
      <c r="J295">
        <v>15019.67</v>
      </c>
      <c r="K295">
        <v>5299.69</v>
      </c>
      <c r="L295" s="2">
        <v>45200</v>
      </c>
    </row>
    <row r="296" spans="1:12" x14ac:dyDescent="0.3">
      <c r="A296" t="s">
        <v>13</v>
      </c>
      <c r="B296" t="s">
        <v>30</v>
      </c>
      <c r="C296" t="s">
        <v>35</v>
      </c>
      <c r="D296" t="s">
        <v>41</v>
      </c>
      <c r="E296" t="s">
        <v>52</v>
      </c>
      <c r="F296" t="s">
        <v>53</v>
      </c>
      <c r="G296">
        <v>385</v>
      </c>
      <c r="H296">
        <v>120.06</v>
      </c>
      <c r="I296">
        <v>46223.1</v>
      </c>
      <c r="J296">
        <v>30353.91</v>
      </c>
      <c r="K296">
        <v>15869.19</v>
      </c>
      <c r="L296" s="2">
        <v>45200</v>
      </c>
    </row>
    <row r="297" spans="1:12" x14ac:dyDescent="0.3">
      <c r="A297" t="s">
        <v>14</v>
      </c>
      <c r="B297" t="s">
        <v>32</v>
      </c>
      <c r="C297" t="s">
        <v>34</v>
      </c>
      <c r="D297" t="s">
        <v>38</v>
      </c>
      <c r="E297" t="s">
        <v>52</v>
      </c>
      <c r="F297" t="s">
        <v>55</v>
      </c>
      <c r="G297">
        <v>468</v>
      </c>
      <c r="H297">
        <v>46.02</v>
      </c>
      <c r="I297">
        <v>21537.360000000001</v>
      </c>
      <c r="J297">
        <v>17747.98</v>
      </c>
      <c r="K297">
        <v>3789.38</v>
      </c>
      <c r="L297" s="2">
        <v>45200</v>
      </c>
    </row>
    <row r="298" spans="1:12" x14ac:dyDescent="0.3">
      <c r="A298" t="s">
        <v>15</v>
      </c>
      <c r="B298" t="s">
        <v>31</v>
      </c>
      <c r="C298" t="s">
        <v>35</v>
      </c>
      <c r="D298" t="s">
        <v>39</v>
      </c>
      <c r="E298" t="s">
        <v>52</v>
      </c>
      <c r="F298" t="s">
        <v>53</v>
      </c>
      <c r="G298">
        <v>302</v>
      </c>
      <c r="H298">
        <v>215.1</v>
      </c>
      <c r="I298">
        <v>64960.2</v>
      </c>
      <c r="J298">
        <v>41453.360000000001</v>
      </c>
      <c r="K298">
        <v>23506.84</v>
      </c>
      <c r="L298" s="2">
        <v>45200</v>
      </c>
    </row>
    <row r="299" spans="1:12" x14ac:dyDescent="0.3">
      <c r="A299" t="s">
        <v>14</v>
      </c>
      <c r="B299" t="s">
        <v>32</v>
      </c>
      <c r="C299" t="s">
        <v>34</v>
      </c>
      <c r="D299" t="s">
        <v>36</v>
      </c>
      <c r="E299" t="s">
        <v>49</v>
      </c>
      <c r="F299" t="s">
        <v>54</v>
      </c>
      <c r="G299">
        <v>68</v>
      </c>
      <c r="H299">
        <v>101.69</v>
      </c>
      <c r="I299">
        <v>6914.92</v>
      </c>
      <c r="J299">
        <v>5025.82</v>
      </c>
      <c r="K299">
        <v>1889.1</v>
      </c>
      <c r="L299" s="2">
        <v>45200</v>
      </c>
    </row>
    <row r="300" spans="1:12" x14ac:dyDescent="0.3">
      <c r="A300" t="s">
        <v>16</v>
      </c>
      <c r="B300" t="s">
        <v>25</v>
      </c>
      <c r="C300" t="s">
        <v>35</v>
      </c>
      <c r="D300" t="s">
        <v>39</v>
      </c>
      <c r="E300" t="s">
        <v>50</v>
      </c>
      <c r="F300" t="s">
        <v>53</v>
      </c>
      <c r="G300">
        <v>233</v>
      </c>
      <c r="H300">
        <v>95.06</v>
      </c>
      <c r="I300">
        <v>22148.98</v>
      </c>
      <c r="J300">
        <v>17570.46</v>
      </c>
      <c r="K300">
        <v>4578.5200000000004</v>
      </c>
      <c r="L300" s="2">
        <v>45200</v>
      </c>
    </row>
    <row r="301" spans="1:12" x14ac:dyDescent="0.3">
      <c r="A301" t="s">
        <v>13</v>
      </c>
      <c r="B301" t="s">
        <v>27</v>
      </c>
      <c r="C301" t="s">
        <v>34</v>
      </c>
      <c r="D301" t="s">
        <v>37</v>
      </c>
      <c r="E301" t="s">
        <v>52</v>
      </c>
      <c r="F301" t="s">
        <v>54</v>
      </c>
      <c r="G301">
        <v>170</v>
      </c>
      <c r="H301">
        <v>142.31</v>
      </c>
      <c r="I301">
        <v>24192.7</v>
      </c>
      <c r="J301">
        <v>16747.72</v>
      </c>
      <c r="K301">
        <v>7444.98</v>
      </c>
      <c r="L301" s="2">
        <v>45200</v>
      </c>
    </row>
    <row r="302" spans="1:12" x14ac:dyDescent="0.3">
      <c r="A302" t="s">
        <v>13</v>
      </c>
      <c r="B302" t="s">
        <v>17</v>
      </c>
      <c r="C302" t="s">
        <v>34</v>
      </c>
      <c r="D302" t="s">
        <v>37</v>
      </c>
      <c r="E302" t="s">
        <v>52</v>
      </c>
      <c r="F302" t="s">
        <v>55</v>
      </c>
      <c r="G302">
        <v>380</v>
      </c>
      <c r="H302">
        <v>61.55</v>
      </c>
      <c r="I302">
        <v>23389</v>
      </c>
      <c r="J302">
        <v>18077.46</v>
      </c>
      <c r="K302">
        <v>5311.54</v>
      </c>
      <c r="L302" s="2">
        <v>45200</v>
      </c>
    </row>
    <row r="303" spans="1:12" x14ac:dyDescent="0.3">
      <c r="A303" t="s">
        <v>13</v>
      </c>
      <c r="B303" t="s">
        <v>26</v>
      </c>
      <c r="C303" t="s">
        <v>35</v>
      </c>
      <c r="D303" t="s">
        <v>47</v>
      </c>
      <c r="E303" t="s">
        <v>52</v>
      </c>
      <c r="F303" t="s">
        <v>55</v>
      </c>
      <c r="G303">
        <v>128</v>
      </c>
      <c r="H303">
        <v>283.94</v>
      </c>
      <c r="I303">
        <v>36344.32</v>
      </c>
      <c r="J303">
        <v>28014.639999999999</v>
      </c>
      <c r="K303">
        <v>8329.68</v>
      </c>
      <c r="L303" s="2">
        <v>45200</v>
      </c>
    </row>
    <row r="304" spans="1:12" x14ac:dyDescent="0.3">
      <c r="A304" t="s">
        <v>14</v>
      </c>
      <c r="B304" t="s">
        <v>23</v>
      </c>
      <c r="C304" t="s">
        <v>35</v>
      </c>
      <c r="D304" t="s">
        <v>42</v>
      </c>
      <c r="E304" t="s">
        <v>52</v>
      </c>
      <c r="F304" t="s">
        <v>55</v>
      </c>
      <c r="G304">
        <v>495</v>
      </c>
      <c r="H304">
        <v>70.849999999999994</v>
      </c>
      <c r="I304">
        <v>35070.75</v>
      </c>
      <c r="J304">
        <v>28276.94</v>
      </c>
      <c r="K304">
        <v>6793.81</v>
      </c>
      <c r="L304" s="2">
        <v>45231</v>
      </c>
    </row>
    <row r="305" spans="1:12" x14ac:dyDescent="0.3">
      <c r="A305" t="s">
        <v>13</v>
      </c>
      <c r="B305" t="s">
        <v>30</v>
      </c>
      <c r="C305" t="s">
        <v>35</v>
      </c>
      <c r="D305" t="s">
        <v>42</v>
      </c>
      <c r="E305" t="s">
        <v>48</v>
      </c>
      <c r="F305" t="s">
        <v>54</v>
      </c>
      <c r="G305">
        <v>50</v>
      </c>
      <c r="H305">
        <v>95.75</v>
      </c>
      <c r="I305">
        <v>4787.5</v>
      </c>
      <c r="J305">
        <v>3583.21</v>
      </c>
      <c r="K305">
        <v>1204.29</v>
      </c>
      <c r="L305" s="2">
        <v>45231</v>
      </c>
    </row>
    <row r="306" spans="1:12" x14ac:dyDescent="0.3">
      <c r="A306" t="s">
        <v>14</v>
      </c>
      <c r="B306" t="s">
        <v>23</v>
      </c>
      <c r="C306" t="s">
        <v>35</v>
      </c>
      <c r="D306" t="s">
        <v>39</v>
      </c>
      <c r="E306" t="s">
        <v>48</v>
      </c>
      <c r="F306" t="s">
        <v>54</v>
      </c>
      <c r="G306">
        <v>315</v>
      </c>
      <c r="H306">
        <v>181.08</v>
      </c>
      <c r="I306">
        <v>57040.2</v>
      </c>
      <c r="J306">
        <v>39817.54</v>
      </c>
      <c r="K306">
        <v>17222.66</v>
      </c>
      <c r="L306" s="2">
        <v>45231</v>
      </c>
    </row>
    <row r="307" spans="1:12" x14ac:dyDescent="0.3">
      <c r="A307" t="s">
        <v>14</v>
      </c>
      <c r="B307" t="s">
        <v>18</v>
      </c>
      <c r="C307" t="s">
        <v>35</v>
      </c>
      <c r="D307" t="s">
        <v>40</v>
      </c>
      <c r="E307" t="s">
        <v>49</v>
      </c>
      <c r="F307" t="s">
        <v>55</v>
      </c>
      <c r="G307">
        <v>204</v>
      </c>
      <c r="H307">
        <v>159.41999999999999</v>
      </c>
      <c r="I307">
        <v>32521.68</v>
      </c>
      <c r="J307">
        <v>27424.799999999999</v>
      </c>
      <c r="K307">
        <v>5096.88</v>
      </c>
      <c r="L307" s="2">
        <v>45231</v>
      </c>
    </row>
    <row r="308" spans="1:12" x14ac:dyDescent="0.3">
      <c r="A308" t="s">
        <v>16</v>
      </c>
      <c r="B308" t="s">
        <v>25</v>
      </c>
      <c r="C308" t="s">
        <v>35</v>
      </c>
      <c r="D308" t="s">
        <v>47</v>
      </c>
      <c r="E308" t="s">
        <v>50</v>
      </c>
      <c r="F308" t="s">
        <v>54</v>
      </c>
      <c r="G308">
        <v>412</v>
      </c>
      <c r="H308">
        <v>88.25</v>
      </c>
      <c r="I308">
        <v>36359</v>
      </c>
      <c r="J308">
        <v>29314.89</v>
      </c>
      <c r="K308">
        <v>7044.11</v>
      </c>
      <c r="L308" s="2">
        <v>45231</v>
      </c>
    </row>
    <row r="309" spans="1:12" x14ac:dyDescent="0.3">
      <c r="A309" t="s">
        <v>13</v>
      </c>
      <c r="B309" t="s">
        <v>30</v>
      </c>
      <c r="C309" t="s">
        <v>34</v>
      </c>
      <c r="D309" t="s">
        <v>38</v>
      </c>
      <c r="E309" t="s">
        <v>50</v>
      </c>
      <c r="F309" t="s">
        <v>55</v>
      </c>
      <c r="G309">
        <v>10</v>
      </c>
      <c r="H309">
        <v>45.39</v>
      </c>
      <c r="I309">
        <v>453.9</v>
      </c>
      <c r="J309">
        <v>286.54000000000002</v>
      </c>
      <c r="K309">
        <v>167.36</v>
      </c>
      <c r="L309" s="2">
        <v>45231</v>
      </c>
    </row>
    <row r="310" spans="1:12" x14ac:dyDescent="0.3">
      <c r="A310" t="s">
        <v>13</v>
      </c>
      <c r="B310" t="s">
        <v>26</v>
      </c>
      <c r="C310" t="s">
        <v>34</v>
      </c>
      <c r="D310" t="s">
        <v>36</v>
      </c>
      <c r="E310" t="s">
        <v>52</v>
      </c>
      <c r="F310" t="s">
        <v>54</v>
      </c>
      <c r="G310">
        <v>127</v>
      </c>
      <c r="H310">
        <v>84.79</v>
      </c>
      <c r="I310">
        <v>10768.33</v>
      </c>
      <c r="J310">
        <v>6921.04</v>
      </c>
      <c r="K310">
        <v>3847.29</v>
      </c>
      <c r="L310" s="2">
        <v>45231</v>
      </c>
    </row>
    <row r="311" spans="1:12" x14ac:dyDescent="0.3">
      <c r="A311" t="s">
        <v>13</v>
      </c>
      <c r="B311" t="s">
        <v>26</v>
      </c>
      <c r="C311" t="s">
        <v>34</v>
      </c>
      <c r="D311" t="s">
        <v>36</v>
      </c>
      <c r="E311" t="s">
        <v>48</v>
      </c>
      <c r="F311" t="s">
        <v>54</v>
      </c>
      <c r="G311">
        <v>372</v>
      </c>
      <c r="H311">
        <v>79.22</v>
      </c>
      <c r="I311">
        <v>29469.84</v>
      </c>
      <c r="J311">
        <v>24534.31</v>
      </c>
      <c r="K311">
        <v>4935.53</v>
      </c>
      <c r="L311" s="2">
        <v>45231</v>
      </c>
    </row>
    <row r="312" spans="1:12" x14ac:dyDescent="0.3">
      <c r="A312" t="s">
        <v>13</v>
      </c>
      <c r="B312" t="s">
        <v>17</v>
      </c>
      <c r="C312" t="s">
        <v>35</v>
      </c>
      <c r="D312" t="s">
        <v>42</v>
      </c>
      <c r="E312" t="s">
        <v>48</v>
      </c>
      <c r="F312" t="s">
        <v>54</v>
      </c>
      <c r="G312">
        <v>12</v>
      </c>
      <c r="H312">
        <v>96.29</v>
      </c>
      <c r="I312">
        <v>1155.48</v>
      </c>
      <c r="J312">
        <v>856.51</v>
      </c>
      <c r="K312">
        <v>298.97000000000003</v>
      </c>
      <c r="L312" s="2">
        <v>45231</v>
      </c>
    </row>
    <row r="313" spans="1:12" x14ac:dyDescent="0.3">
      <c r="A313" t="s">
        <v>16</v>
      </c>
      <c r="B313" t="s">
        <v>24</v>
      </c>
      <c r="C313" t="s">
        <v>35</v>
      </c>
      <c r="D313" t="s">
        <v>42</v>
      </c>
      <c r="E313" t="s">
        <v>52</v>
      </c>
      <c r="F313" t="s">
        <v>54</v>
      </c>
      <c r="G313">
        <v>19</v>
      </c>
      <c r="H313">
        <v>279.79000000000002</v>
      </c>
      <c r="I313">
        <v>5316.01</v>
      </c>
      <c r="J313">
        <v>3525.92</v>
      </c>
      <c r="K313">
        <v>1790.09</v>
      </c>
      <c r="L313" s="2">
        <v>45231</v>
      </c>
    </row>
    <row r="314" spans="1:12" x14ac:dyDescent="0.3">
      <c r="A314" t="s">
        <v>14</v>
      </c>
      <c r="B314" t="s">
        <v>23</v>
      </c>
      <c r="C314" t="s">
        <v>34</v>
      </c>
      <c r="D314" t="s">
        <v>37</v>
      </c>
      <c r="E314" t="s">
        <v>51</v>
      </c>
      <c r="F314" t="s">
        <v>54</v>
      </c>
      <c r="G314">
        <v>197</v>
      </c>
      <c r="H314">
        <v>197.37</v>
      </c>
      <c r="I314">
        <v>38881.89</v>
      </c>
      <c r="J314">
        <v>28182.89</v>
      </c>
      <c r="K314">
        <v>10699</v>
      </c>
      <c r="L314" s="2">
        <v>45231</v>
      </c>
    </row>
    <row r="315" spans="1:12" x14ac:dyDescent="0.3">
      <c r="A315" t="s">
        <v>13</v>
      </c>
      <c r="B315" t="s">
        <v>17</v>
      </c>
      <c r="C315" t="s">
        <v>34</v>
      </c>
      <c r="D315" t="s">
        <v>37</v>
      </c>
      <c r="E315" t="s">
        <v>51</v>
      </c>
      <c r="F315" t="s">
        <v>54</v>
      </c>
      <c r="G315">
        <v>478</v>
      </c>
      <c r="H315">
        <v>161.22</v>
      </c>
      <c r="I315">
        <v>77063.16</v>
      </c>
      <c r="J315">
        <v>47463.99</v>
      </c>
      <c r="K315">
        <v>29599.17</v>
      </c>
      <c r="L315" s="2">
        <v>45231</v>
      </c>
    </row>
    <row r="316" spans="1:12" x14ac:dyDescent="0.3">
      <c r="A316" t="s">
        <v>13</v>
      </c>
      <c r="B316" t="s">
        <v>17</v>
      </c>
      <c r="C316" t="s">
        <v>34</v>
      </c>
      <c r="D316" t="s">
        <v>38</v>
      </c>
      <c r="E316" t="s">
        <v>52</v>
      </c>
      <c r="F316" t="s">
        <v>55</v>
      </c>
      <c r="G316">
        <v>421</v>
      </c>
      <c r="H316">
        <v>67.87</v>
      </c>
      <c r="I316">
        <v>28573.27</v>
      </c>
      <c r="J316">
        <v>22003.05</v>
      </c>
      <c r="K316">
        <v>6570.22</v>
      </c>
      <c r="L316" s="2">
        <v>45231</v>
      </c>
    </row>
    <row r="317" spans="1:12" x14ac:dyDescent="0.3">
      <c r="A317" t="s">
        <v>15</v>
      </c>
      <c r="B317" t="s">
        <v>29</v>
      </c>
      <c r="C317" t="s">
        <v>35</v>
      </c>
      <c r="D317" t="s">
        <v>47</v>
      </c>
      <c r="E317" t="s">
        <v>48</v>
      </c>
      <c r="F317" t="s">
        <v>54</v>
      </c>
      <c r="G317">
        <v>179</v>
      </c>
      <c r="H317">
        <v>233.35</v>
      </c>
      <c r="I317">
        <v>41769.65</v>
      </c>
      <c r="J317">
        <v>33490.44</v>
      </c>
      <c r="K317">
        <v>8279.2099999999991</v>
      </c>
      <c r="L317" s="2">
        <v>45231</v>
      </c>
    </row>
    <row r="318" spans="1:12" x14ac:dyDescent="0.3">
      <c r="A318" t="s">
        <v>15</v>
      </c>
      <c r="B318" t="s">
        <v>31</v>
      </c>
      <c r="C318" t="s">
        <v>35</v>
      </c>
      <c r="D318" t="s">
        <v>39</v>
      </c>
      <c r="E318" t="s">
        <v>52</v>
      </c>
      <c r="F318" t="s">
        <v>55</v>
      </c>
      <c r="G318">
        <v>47</v>
      </c>
      <c r="H318">
        <v>222.2</v>
      </c>
      <c r="I318">
        <v>10443.4</v>
      </c>
      <c r="J318">
        <v>7938.64</v>
      </c>
      <c r="K318">
        <v>2504.7600000000002</v>
      </c>
      <c r="L318" s="2">
        <v>45231</v>
      </c>
    </row>
    <row r="319" spans="1:12" x14ac:dyDescent="0.3">
      <c r="A319" t="s">
        <v>16</v>
      </c>
      <c r="B319" t="s">
        <v>22</v>
      </c>
      <c r="C319" t="s">
        <v>34</v>
      </c>
      <c r="D319" t="s">
        <v>37</v>
      </c>
      <c r="E319" t="s">
        <v>49</v>
      </c>
      <c r="F319" t="s">
        <v>55</v>
      </c>
      <c r="G319">
        <v>455</v>
      </c>
      <c r="H319">
        <v>264.68</v>
      </c>
      <c r="I319">
        <v>120429.4</v>
      </c>
      <c r="J319">
        <v>95048.88</v>
      </c>
      <c r="K319">
        <v>25380.52</v>
      </c>
      <c r="L319" s="2">
        <v>45231</v>
      </c>
    </row>
    <row r="320" spans="1:12" x14ac:dyDescent="0.3">
      <c r="A320" t="s">
        <v>16</v>
      </c>
      <c r="B320" t="s">
        <v>28</v>
      </c>
      <c r="C320" t="s">
        <v>35</v>
      </c>
      <c r="D320" t="s">
        <v>41</v>
      </c>
      <c r="E320" t="s">
        <v>51</v>
      </c>
      <c r="F320" t="s">
        <v>55</v>
      </c>
      <c r="G320">
        <v>235</v>
      </c>
      <c r="H320">
        <v>121.39</v>
      </c>
      <c r="I320">
        <v>28526.65</v>
      </c>
      <c r="J320">
        <v>17377.95</v>
      </c>
      <c r="K320">
        <v>11148.7</v>
      </c>
      <c r="L320" s="2">
        <v>45231</v>
      </c>
    </row>
    <row r="321" spans="1:12" x14ac:dyDescent="0.3">
      <c r="A321" t="s">
        <v>14</v>
      </c>
      <c r="B321" t="s">
        <v>19</v>
      </c>
      <c r="C321" t="s">
        <v>35</v>
      </c>
      <c r="D321" t="s">
        <v>47</v>
      </c>
      <c r="E321" t="s">
        <v>48</v>
      </c>
      <c r="F321" t="s">
        <v>54</v>
      </c>
      <c r="G321">
        <v>17</v>
      </c>
      <c r="H321">
        <v>160.06</v>
      </c>
      <c r="I321">
        <v>2721.02</v>
      </c>
      <c r="J321">
        <v>1925.41</v>
      </c>
      <c r="K321">
        <v>795.61</v>
      </c>
      <c r="L321" s="2">
        <v>45261</v>
      </c>
    </row>
    <row r="322" spans="1:12" x14ac:dyDescent="0.3">
      <c r="A322" t="s">
        <v>15</v>
      </c>
      <c r="B322" t="s">
        <v>31</v>
      </c>
      <c r="C322" t="s">
        <v>35</v>
      </c>
      <c r="D322" t="s">
        <v>39</v>
      </c>
      <c r="E322" t="s">
        <v>51</v>
      </c>
      <c r="F322" t="s">
        <v>53</v>
      </c>
      <c r="G322">
        <v>110</v>
      </c>
      <c r="H322">
        <v>295.60000000000002</v>
      </c>
      <c r="I322">
        <v>32516</v>
      </c>
      <c r="J322">
        <v>26329</v>
      </c>
      <c r="K322">
        <v>6187</v>
      </c>
      <c r="L322" s="2">
        <v>45261</v>
      </c>
    </row>
    <row r="323" spans="1:12" x14ac:dyDescent="0.3">
      <c r="A323" t="s">
        <v>13</v>
      </c>
      <c r="B323" t="s">
        <v>30</v>
      </c>
      <c r="C323" t="s">
        <v>34</v>
      </c>
      <c r="D323" t="s">
        <v>36</v>
      </c>
      <c r="E323" t="s">
        <v>48</v>
      </c>
      <c r="F323" t="s">
        <v>54</v>
      </c>
      <c r="G323">
        <v>204</v>
      </c>
      <c r="H323">
        <v>138.19</v>
      </c>
      <c r="I323">
        <v>28190.76</v>
      </c>
      <c r="J323">
        <v>19246.46</v>
      </c>
      <c r="K323">
        <v>8944.2999999999993</v>
      </c>
      <c r="L323" s="2">
        <v>45261</v>
      </c>
    </row>
    <row r="324" spans="1:12" x14ac:dyDescent="0.3">
      <c r="A324" t="s">
        <v>15</v>
      </c>
      <c r="B324" t="s">
        <v>29</v>
      </c>
      <c r="C324" t="s">
        <v>34</v>
      </c>
      <c r="D324" t="s">
        <v>38</v>
      </c>
      <c r="E324" t="s">
        <v>51</v>
      </c>
      <c r="F324" t="s">
        <v>55</v>
      </c>
      <c r="G324">
        <v>307</v>
      </c>
      <c r="H324">
        <v>276.14999999999998</v>
      </c>
      <c r="I324">
        <v>84778.05</v>
      </c>
      <c r="J324">
        <v>59864.480000000003</v>
      </c>
      <c r="K324">
        <v>24913.57</v>
      </c>
      <c r="L324" s="2">
        <v>45261</v>
      </c>
    </row>
    <row r="325" spans="1:12" x14ac:dyDescent="0.3">
      <c r="A325" t="s">
        <v>13</v>
      </c>
      <c r="B325" t="s">
        <v>17</v>
      </c>
      <c r="C325" t="s">
        <v>35</v>
      </c>
      <c r="D325" t="s">
        <v>41</v>
      </c>
      <c r="E325" t="s">
        <v>48</v>
      </c>
      <c r="F325" t="s">
        <v>54</v>
      </c>
      <c r="G325">
        <v>62</v>
      </c>
      <c r="H325">
        <v>209.53</v>
      </c>
      <c r="I325">
        <v>12990.86</v>
      </c>
      <c r="J325">
        <v>8580.1</v>
      </c>
      <c r="K325">
        <v>4410.76</v>
      </c>
      <c r="L325" s="2">
        <v>45261</v>
      </c>
    </row>
    <row r="326" spans="1:12" x14ac:dyDescent="0.3">
      <c r="A326" t="s">
        <v>14</v>
      </c>
      <c r="B326" t="s">
        <v>19</v>
      </c>
      <c r="C326" t="s">
        <v>35</v>
      </c>
      <c r="D326" t="s">
        <v>41</v>
      </c>
      <c r="E326" t="s">
        <v>51</v>
      </c>
      <c r="F326" t="s">
        <v>54</v>
      </c>
      <c r="G326">
        <v>208</v>
      </c>
      <c r="H326">
        <v>297.44</v>
      </c>
      <c r="I326">
        <v>61867.519999999997</v>
      </c>
      <c r="J326">
        <v>40703.75</v>
      </c>
      <c r="K326">
        <v>21163.77</v>
      </c>
      <c r="L326" s="2">
        <v>45261</v>
      </c>
    </row>
    <row r="327" spans="1:12" x14ac:dyDescent="0.3">
      <c r="A327" t="s">
        <v>14</v>
      </c>
      <c r="B327" t="s">
        <v>18</v>
      </c>
      <c r="C327" t="s">
        <v>34</v>
      </c>
      <c r="D327" t="s">
        <v>45</v>
      </c>
      <c r="E327" t="s">
        <v>52</v>
      </c>
      <c r="F327" t="s">
        <v>55</v>
      </c>
      <c r="G327">
        <v>148</v>
      </c>
      <c r="H327">
        <v>280.27999999999997</v>
      </c>
      <c r="I327">
        <v>41481.440000000002</v>
      </c>
      <c r="J327">
        <v>28214.04</v>
      </c>
      <c r="K327">
        <v>13267.4</v>
      </c>
      <c r="L327" s="2">
        <v>45261</v>
      </c>
    </row>
    <row r="328" spans="1:12" x14ac:dyDescent="0.3">
      <c r="A328" t="s">
        <v>15</v>
      </c>
      <c r="B328" t="s">
        <v>21</v>
      </c>
      <c r="C328" t="s">
        <v>34</v>
      </c>
      <c r="D328" t="s">
        <v>38</v>
      </c>
      <c r="E328" t="s">
        <v>48</v>
      </c>
      <c r="F328" t="s">
        <v>53</v>
      </c>
      <c r="G328">
        <v>402</v>
      </c>
      <c r="H328">
        <v>238.65</v>
      </c>
      <c r="I328">
        <v>95937.3</v>
      </c>
      <c r="J328">
        <v>73511.59</v>
      </c>
      <c r="K328">
        <v>22425.71</v>
      </c>
      <c r="L328" s="2">
        <v>45261</v>
      </c>
    </row>
    <row r="329" spans="1:12" x14ac:dyDescent="0.3">
      <c r="A329" t="s">
        <v>16</v>
      </c>
      <c r="B329" t="s">
        <v>28</v>
      </c>
      <c r="C329" t="s">
        <v>34</v>
      </c>
      <c r="D329" t="s">
        <v>37</v>
      </c>
      <c r="E329" t="s">
        <v>51</v>
      </c>
      <c r="F329" t="s">
        <v>53</v>
      </c>
      <c r="G329">
        <v>201</v>
      </c>
      <c r="H329">
        <v>152.77000000000001</v>
      </c>
      <c r="I329">
        <v>30706.77</v>
      </c>
      <c r="J329">
        <v>22855.66</v>
      </c>
      <c r="K329">
        <v>7851.11</v>
      </c>
      <c r="L329" s="2">
        <v>45261</v>
      </c>
    </row>
    <row r="330" spans="1:12" x14ac:dyDescent="0.3">
      <c r="A330" t="s">
        <v>16</v>
      </c>
      <c r="B330" t="s">
        <v>25</v>
      </c>
      <c r="C330" t="s">
        <v>35</v>
      </c>
      <c r="D330" t="s">
        <v>47</v>
      </c>
      <c r="E330" t="s">
        <v>52</v>
      </c>
      <c r="F330" t="s">
        <v>55</v>
      </c>
      <c r="G330">
        <v>418</v>
      </c>
      <c r="H330">
        <v>289.41000000000003</v>
      </c>
      <c r="I330">
        <v>120973.38</v>
      </c>
      <c r="J330">
        <v>88281.3</v>
      </c>
      <c r="K330">
        <v>32692.080000000002</v>
      </c>
      <c r="L330" s="2">
        <v>45261</v>
      </c>
    </row>
    <row r="331" spans="1:12" x14ac:dyDescent="0.3">
      <c r="A331" t="s">
        <v>16</v>
      </c>
      <c r="B331" t="s">
        <v>25</v>
      </c>
      <c r="C331" t="s">
        <v>35</v>
      </c>
      <c r="D331" t="s">
        <v>47</v>
      </c>
      <c r="E331" t="s">
        <v>49</v>
      </c>
      <c r="F331" t="s">
        <v>55</v>
      </c>
      <c r="G331">
        <v>161</v>
      </c>
      <c r="H331">
        <v>106.93</v>
      </c>
      <c r="I331">
        <v>17215.73</v>
      </c>
      <c r="J331">
        <v>13707.58</v>
      </c>
      <c r="K331">
        <v>3508.15</v>
      </c>
      <c r="L331" s="2">
        <v>45261</v>
      </c>
    </row>
    <row r="332" spans="1:12" x14ac:dyDescent="0.3">
      <c r="A332" t="s">
        <v>14</v>
      </c>
      <c r="B332" t="s">
        <v>18</v>
      </c>
      <c r="C332" t="s">
        <v>35</v>
      </c>
      <c r="D332" t="s">
        <v>42</v>
      </c>
      <c r="E332" t="s">
        <v>49</v>
      </c>
      <c r="F332" t="s">
        <v>53</v>
      </c>
      <c r="G332">
        <v>167</v>
      </c>
      <c r="H332">
        <v>65.3</v>
      </c>
      <c r="I332">
        <v>10905.1</v>
      </c>
      <c r="J332">
        <v>6642.7</v>
      </c>
      <c r="K332">
        <v>4262.3999999999996</v>
      </c>
      <c r="L332" s="2">
        <v>45261</v>
      </c>
    </row>
    <row r="333" spans="1:12" x14ac:dyDescent="0.3">
      <c r="A333" t="s">
        <v>13</v>
      </c>
      <c r="B333" t="s">
        <v>30</v>
      </c>
      <c r="C333" t="s">
        <v>35</v>
      </c>
      <c r="D333" t="s">
        <v>47</v>
      </c>
      <c r="E333" t="s">
        <v>52</v>
      </c>
      <c r="F333" t="s">
        <v>54</v>
      </c>
      <c r="G333">
        <v>258</v>
      </c>
      <c r="H333">
        <v>159.06</v>
      </c>
      <c r="I333">
        <v>41037.480000000003</v>
      </c>
      <c r="J333">
        <v>32662.27</v>
      </c>
      <c r="K333">
        <v>8375.2099999999991</v>
      </c>
      <c r="L333" s="2">
        <v>45261</v>
      </c>
    </row>
    <row r="334" spans="1:12" x14ac:dyDescent="0.3">
      <c r="A334" t="s">
        <v>13</v>
      </c>
      <c r="B334" t="s">
        <v>30</v>
      </c>
      <c r="C334" t="s">
        <v>34</v>
      </c>
      <c r="D334" t="s">
        <v>43</v>
      </c>
      <c r="E334" t="s">
        <v>48</v>
      </c>
      <c r="F334" t="s">
        <v>55</v>
      </c>
      <c r="G334">
        <v>435</v>
      </c>
      <c r="H334">
        <v>297.72000000000003</v>
      </c>
      <c r="I334">
        <v>129508.2</v>
      </c>
      <c r="J334">
        <v>86895.29</v>
      </c>
      <c r="K334">
        <v>42612.91</v>
      </c>
      <c r="L334" s="2">
        <v>45261</v>
      </c>
    </row>
    <row r="335" spans="1:12" x14ac:dyDescent="0.3">
      <c r="A335" t="s">
        <v>14</v>
      </c>
      <c r="B335" t="s">
        <v>18</v>
      </c>
      <c r="C335" t="s">
        <v>34</v>
      </c>
      <c r="D335" t="s">
        <v>45</v>
      </c>
      <c r="E335" t="s">
        <v>48</v>
      </c>
      <c r="F335" t="s">
        <v>55</v>
      </c>
      <c r="G335">
        <v>463</v>
      </c>
      <c r="H335">
        <v>75.58</v>
      </c>
      <c r="I335">
        <v>34993.54</v>
      </c>
      <c r="J335">
        <v>28405.3</v>
      </c>
      <c r="K335">
        <v>6588.24</v>
      </c>
      <c r="L335" s="2">
        <v>45261</v>
      </c>
    </row>
    <row r="336" spans="1:12" x14ac:dyDescent="0.3">
      <c r="A336" t="s">
        <v>14</v>
      </c>
      <c r="B336" t="s">
        <v>23</v>
      </c>
      <c r="C336" t="s">
        <v>35</v>
      </c>
      <c r="D336" t="s">
        <v>39</v>
      </c>
      <c r="E336" t="s">
        <v>52</v>
      </c>
      <c r="F336" t="s">
        <v>55</v>
      </c>
      <c r="G336">
        <v>187</v>
      </c>
      <c r="H336">
        <v>109.37</v>
      </c>
      <c r="I336">
        <v>20452.189999999999</v>
      </c>
      <c r="J336">
        <v>14992.71</v>
      </c>
      <c r="K336">
        <v>5459.48</v>
      </c>
      <c r="L336" s="2">
        <v>45261</v>
      </c>
    </row>
    <row r="337" spans="1:12" x14ac:dyDescent="0.3">
      <c r="A337" t="s">
        <v>13</v>
      </c>
      <c r="B337" t="s">
        <v>27</v>
      </c>
      <c r="C337" t="s">
        <v>35</v>
      </c>
      <c r="D337" t="s">
        <v>39</v>
      </c>
      <c r="E337" t="s">
        <v>50</v>
      </c>
      <c r="F337" t="s">
        <v>55</v>
      </c>
      <c r="G337">
        <v>333</v>
      </c>
      <c r="H337">
        <v>133.38</v>
      </c>
      <c r="I337">
        <v>44415.54</v>
      </c>
      <c r="J337">
        <v>32285.77</v>
      </c>
      <c r="K337">
        <v>12129.77</v>
      </c>
      <c r="L337" s="2">
        <v>45261</v>
      </c>
    </row>
    <row r="338" spans="1:12" x14ac:dyDescent="0.3">
      <c r="A338" t="s">
        <v>16</v>
      </c>
      <c r="B338" t="s">
        <v>22</v>
      </c>
      <c r="C338" t="s">
        <v>34</v>
      </c>
      <c r="D338" t="s">
        <v>36</v>
      </c>
      <c r="E338" t="s">
        <v>50</v>
      </c>
      <c r="F338" t="s">
        <v>53</v>
      </c>
      <c r="G338">
        <v>108</v>
      </c>
      <c r="H338">
        <v>183.21</v>
      </c>
      <c r="I338">
        <v>19786.68</v>
      </c>
      <c r="J338">
        <v>14469.17</v>
      </c>
      <c r="K338">
        <v>5317.51</v>
      </c>
      <c r="L338" s="2">
        <v>45261</v>
      </c>
    </row>
    <row r="339" spans="1:12" x14ac:dyDescent="0.3">
      <c r="A339" t="s">
        <v>13</v>
      </c>
      <c r="B339" t="s">
        <v>26</v>
      </c>
      <c r="C339" t="s">
        <v>35</v>
      </c>
      <c r="D339" t="s">
        <v>44</v>
      </c>
      <c r="E339" t="s">
        <v>52</v>
      </c>
      <c r="F339" t="s">
        <v>54</v>
      </c>
      <c r="G339">
        <v>57</v>
      </c>
      <c r="H339">
        <v>96</v>
      </c>
      <c r="I339">
        <v>5472</v>
      </c>
      <c r="J339">
        <v>4260.53</v>
      </c>
      <c r="K339">
        <v>1211.47</v>
      </c>
      <c r="L339" s="2">
        <v>45261</v>
      </c>
    </row>
    <row r="340" spans="1:12" x14ac:dyDescent="0.3">
      <c r="A340" t="s">
        <v>14</v>
      </c>
      <c r="B340" t="s">
        <v>32</v>
      </c>
      <c r="C340" t="s">
        <v>35</v>
      </c>
      <c r="D340" t="s">
        <v>44</v>
      </c>
      <c r="E340" t="s">
        <v>48</v>
      </c>
      <c r="F340" t="s">
        <v>53</v>
      </c>
      <c r="G340">
        <v>366</v>
      </c>
      <c r="H340">
        <v>136.72999999999999</v>
      </c>
      <c r="I340">
        <v>50043.18</v>
      </c>
      <c r="J340">
        <v>37451.83</v>
      </c>
      <c r="K340">
        <v>12591.35</v>
      </c>
      <c r="L340" s="2">
        <v>45261</v>
      </c>
    </row>
    <row r="341" spans="1:12" x14ac:dyDescent="0.3">
      <c r="A341" t="s">
        <v>15</v>
      </c>
      <c r="B341" t="s">
        <v>33</v>
      </c>
      <c r="C341" t="s">
        <v>34</v>
      </c>
      <c r="D341" t="s">
        <v>43</v>
      </c>
      <c r="E341" t="s">
        <v>48</v>
      </c>
      <c r="F341" t="s">
        <v>55</v>
      </c>
      <c r="G341">
        <v>400</v>
      </c>
      <c r="H341">
        <v>144.16</v>
      </c>
      <c r="I341">
        <v>57664</v>
      </c>
      <c r="J341">
        <v>47115.42</v>
      </c>
      <c r="K341">
        <v>10548.58</v>
      </c>
      <c r="L341" s="2">
        <v>45261</v>
      </c>
    </row>
    <row r="342" spans="1:12" x14ac:dyDescent="0.3">
      <c r="A342" t="s">
        <v>15</v>
      </c>
      <c r="B342" t="s">
        <v>33</v>
      </c>
      <c r="C342" t="s">
        <v>35</v>
      </c>
      <c r="D342" t="s">
        <v>39</v>
      </c>
      <c r="E342" t="s">
        <v>49</v>
      </c>
      <c r="F342" t="s">
        <v>55</v>
      </c>
      <c r="G342">
        <v>466</v>
      </c>
      <c r="H342">
        <v>134.80000000000001</v>
      </c>
      <c r="I342">
        <v>62816.800000000003</v>
      </c>
      <c r="J342">
        <v>40370.230000000003</v>
      </c>
      <c r="K342">
        <v>22446.57</v>
      </c>
      <c r="L342" s="2">
        <v>45261</v>
      </c>
    </row>
    <row r="343" spans="1:12" x14ac:dyDescent="0.3">
      <c r="A343" t="s">
        <v>13</v>
      </c>
      <c r="B343" t="s">
        <v>27</v>
      </c>
      <c r="C343" t="s">
        <v>35</v>
      </c>
      <c r="D343" t="s">
        <v>40</v>
      </c>
      <c r="E343" t="s">
        <v>48</v>
      </c>
      <c r="F343" t="s">
        <v>54</v>
      </c>
      <c r="G343">
        <v>115</v>
      </c>
      <c r="H343">
        <v>91.83</v>
      </c>
      <c r="I343">
        <v>10560.45</v>
      </c>
      <c r="J343">
        <v>7027.2</v>
      </c>
      <c r="K343">
        <v>3533.25</v>
      </c>
      <c r="L343" s="2">
        <v>45261</v>
      </c>
    </row>
    <row r="344" spans="1:12" x14ac:dyDescent="0.3">
      <c r="A344" t="s">
        <v>15</v>
      </c>
      <c r="B344" t="s">
        <v>21</v>
      </c>
      <c r="C344" t="s">
        <v>34</v>
      </c>
      <c r="D344" t="s">
        <v>43</v>
      </c>
      <c r="E344" t="s">
        <v>49</v>
      </c>
      <c r="F344" t="s">
        <v>54</v>
      </c>
      <c r="G344">
        <v>63</v>
      </c>
      <c r="H344">
        <v>251.48</v>
      </c>
      <c r="I344">
        <v>15843.24</v>
      </c>
      <c r="J344">
        <v>9549.64</v>
      </c>
      <c r="K344">
        <v>6293.6</v>
      </c>
      <c r="L344" s="2">
        <v>45261</v>
      </c>
    </row>
    <row r="345" spans="1:12" x14ac:dyDescent="0.3">
      <c r="A345" t="s">
        <v>13</v>
      </c>
      <c r="B345" t="s">
        <v>17</v>
      </c>
      <c r="C345" t="s">
        <v>35</v>
      </c>
      <c r="D345" t="s">
        <v>42</v>
      </c>
      <c r="E345" t="s">
        <v>49</v>
      </c>
      <c r="F345" t="s">
        <v>53</v>
      </c>
      <c r="G345">
        <v>433</v>
      </c>
      <c r="H345">
        <v>224.57</v>
      </c>
      <c r="I345">
        <v>97238.81</v>
      </c>
      <c r="J345">
        <v>80661.45</v>
      </c>
      <c r="K345">
        <v>16577.36</v>
      </c>
      <c r="L345" s="2">
        <v>45261</v>
      </c>
    </row>
    <row r="346" spans="1:12" x14ac:dyDescent="0.3">
      <c r="A346" t="s">
        <v>15</v>
      </c>
      <c r="B346" t="s">
        <v>20</v>
      </c>
      <c r="C346" t="s">
        <v>35</v>
      </c>
      <c r="D346" t="s">
        <v>47</v>
      </c>
      <c r="E346" t="s">
        <v>50</v>
      </c>
      <c r="F346" t="s">
        <v>53</v>
      </c>
      <c r="G346">
        <v>391</v>
      </c>
      <c r="H346">
        <v>107.72</v>
      </c>
      <c r="I346">
        <v>42118.52</v>
      </c>
      <c r="J346">
        <v>35795.94</v>
      </c>
      <c r="K346">
        <v>6322.58</v>
      </c>
      <c r="L346" s="2">
        <v>45261</v>
      </c>
    </row>
    <row r="347" spans="1:12" x14ac:dyDescent="0.3">
      <c r="A347" t="s">
        <v>16</v>
      </c>
      <c r="B347" t="s">
        <v>24</v>
      </c>
      <c r="C347" t="s">
        <v>34</v>
      </c>
      <c r="D347" t="s">
        <v>43</v>
      </c>
      <c r="E347" t="s">
        <v>51</v>
      </c>
      <c r="F347" t="s">
        <v>55</v>
      </c>
      <c r="G347">
        <v>327</v>
      </c>
      <c r="H347">
        <v>181.8</v>
      </c>
      <c r="I347">
        <v>59448.6</v>
      </c>
      <c r="J347">
        <v>47925.69</v>
      </c>
      <c r="K347">
        <v>11522.91</v>
      </c>
      <c r="L347" s="2">
        <v>45261</v>
      </c>
    </row>
    <row r="348" spans="1:12" x14ac:dyDescent="0.3">
      <c r="A348" t="s">
        <v>15</v>
      </c>
      <c r="B348" t="s">
        <v>21</v>
      </c>
      <c r="C348" t="s">
        <v>34</v>
      </c>
      <c r="D348" t="s">
        <v>45</v>
      </c>
      <c r="E348" t="s">
        <v>49</v>
      </c>
      <c r="F348" t="s">
        <v>53</v>
      </c>
      <c r="G348">
        <v>170</v>
      </c>
      <c r="H348">
        <v>49.73</v>
      </c>
      <c r="I348">
        <v>8454.1</v>
      </c>
      <c r="J348">
        <v>7175.38</v>
      </c>
      <c r="K348">
        <v>1278.72</v>
      </c>
      <c r="L348" s="2">
        <v>45261</v>
      </c>
    </row>
    <row r="349" spans="1:12" x14ac:dyDescent="0.3">
      <c r="A349" t="s">
        <v>14</v>
      </c>
      <c r="B349" t="s">
        <v>19</v>
      </c>
      <c r="C349" t="s">
        <v>34</v>
      </c>
      <c r="D349" t="s">
        <v>36</v>
      </c>
      <c r="E349" t="s">
        <v>51</v>
      </c>
      <c r="F349" t="s">
        <v>53</v>
      </c>
      <c r="G349">
        <v>455</v>
      </c>
      <c r="H349">
        <v>132.58000000000001</v>
      </c>
      <c r="I349">
        <v>60323.9</v>
      </c>
      <c r="J349">
        <v>48587.98</v>
      </c>
      <c r="K349">
        <v>11735.92</v>
      </c>
      <c r="L349" s="2">
        <v>45261</v>
      </c>
    </row>
    <row r="350" spans="1:12" x14ac:dyDescent="0.3">
      <c r="A350" t="s">
        <v>13</v>
      </c>
      <c r="B350" t="s">
        <v>17</v>
      </c>
      <c r="C350" t="s">
        <v>34</v>
      </c>
      <c r="D350" t="s">
        <v>45</v>
      </c>
      <c r="E350" t="s">
        <v>52</v>
      </c>
      <c r="F350" t="s">
        <v>54</v>
      </c>
      <c r="G350">
        <v>396</v>
      </c>
      <c r="H350">
        <v>127.24</v>
      </c>
      <c r="I350">
        <v>50387.040000000001</v>
      </c>
      <c r="J350">
        <v>36920.32</v>
      </c>
      <c r="K350">
        <v>13466.72</v>
      </c>
      <c r="L350" s="2">
        <v>45261</v>
      </c>
    </row>
    <row r="351" spans="1:12" x14ac:dyDescent="0.3">
      <c r="A351" t="s">
        <v>14</v>
      </c>
      <c r="B351" t="s">
        <v>18</v>
      </c>
      <c r="C351" t="s">
        <v>35</v>
      </c>
      <c r="D351" t="s">
        <v>39</v>
      </c>
      <c r="E351" t="s">
        <v>52</v>
      </c>
      <c r="F351" t="s">
        <v>54</v>
      </c>
      <c r="G351">
        <v>19</v>
      </c>
      <c r="H351">
        <v>169.09</v>
      </c>
      <c r="I351">
        <v>3212.71</v>
      </c>
      <c r="J351">
        <v>2368.5100000000002</v>
      </c>
      <c r="K351">
        <v>844.2</v>
      </c>
      <c r="L351" s="2">
        <v>45292</v>
      </c>
    </row>
    <row r="352" spans="1:12" x14ac:dyDescent="0.3">
      <c r="A352" t="s">
        <v>13</v>
      </c>
      <c r="B352" t="s">
        <v>30</v>
      </c>
      <c r="C352" t="s">
        <v>35</v>
      </c>
      <c r="D352" t="s">
        <v>39</v>
      </c>
      <c r="E352" t="s">
        <v>50</v>
      </c>
      <c r="F352" t="s">
        <v>53</v>
      </c>
      <c r="G352">
        <v>274</v>
      </c>
      <c r="H352">
        <v>219.71</v>
      </c>
      <c r="I352">
        <v>60200.54</v>
      </c>
      <c r="J352">
        <v>40339.4</v>
      </c>
      <c r="K352">
        <v>19861.14</v>
      </c>
      <c r="L352" s="2">
        <v>45292</v>
      </c>
    </row>
    <row r="353" spans="1:12" x14ac:dyDescent="0.3">
      <c r="A353" t="s">
        <v>16</v>
      </c>
      <c r="B353" t="s">
        <v>22</v>
      </c>
      <c r="C353" t="s">
        <v>35</v>
      </c>
      <c r="D353" t="s">
        <v>40</v>
      </c>
      <c r="E353" t="s">
        <v>51</v>
      </c>
      <c r="F353" t="s">
        <v>55</v>
      </c>
      <c r="G353">
        <v>256</v>
      </c>
      <c r="H353">
        <v>123.91</v>
      </c>
      <c r="I353">
        <v>31720.959999999999</v>
      </c>
      <c r="J353">
        <v>25806.76</v>
      </c>
      <c r="K353">
        <v>5914.2</v>
      </c>
      <c r="L353" s="2">
        <v>45292</v>
      </c>
    </row>
    <row r="354" spans="1:12" x14ac:dyDescent="0.3">
      <c r="A354" t="s">
        <v>15</v>
      </c>
      <c r="B354" t="s">
        <v>29</v>
      </c>
      <c r="C354" t="s">
        <v>35</v>
      </c>
      <c r="D354" t="s">
        <v>40</v>
      </c>
      <c r="E354" t="s">
        <v>51</v>
      </c>
      <c r="F354" t="s">
        <v>53</v>
      </c>
      <c r="G354">
        <v>444</v>
      </c>
      <c r="H354">
        <v>236.89</v>
      </c>
      <c r="I354">
        <v>105179.16</v>
      </c>
      <c r="J354">
        <v>82423.070000000007</v>
      </c>
      <c r="K354">
        <v>22756.09</v>
      </c>
      <c r="L354" s="2">
        <v>45292</v>
      </c>
    </row>
    <row r="355" spans="1:12" x14ac:dyDescent="0.3">
      <c r="A355" t="s">
        <v>14</v>
      </c>
      <c r="B355" t="s">
        <v>32</v>
      </c>
      <c r="C355" t="s">
        <v>34</v>
      </c>
      <c r="D355" t="s">
        <v>43</v>
      </c>
      <c r="E355" t="s">
        <v>52</v>
      </c>
      <c r="F355" t="s">
        <v>53</v>
      </c>
      <c r="G355">
        <v>169</v>
      </c>
      <c r="H355">
        <v>202.5</v>
      </c>
      <c r="I355">
        <v>34222.5</v>
      </c>
      <c r="J355">
        <v>28775.94</v>
      </c>
      <c r="K355">
        <v>5446.56</v>
      </c>
      <c r="L355" s="2">
        <v>45292</v>
      </c>
    </row>
    <row r="356" spans="1:12" x14ac:dyDescent="0.3">
      <c r="A356" t="s">
        <v>16</v>
      </c>
      <c r="B356" t="s">
        <v>28</v>
      </c>
      <c r="C356" t="s">
        <v>35</v>
      </c>
      <c r="D356" t="s">
        <v>40</v>
      </c>
      <c r="E356" t="s">
        <v>48</v>
      </c>
      <c r="F356" t="s">
        <v>53</v>
      </c>
      <c r="G356">
        <v>211</v>
      </c>
      <c r="H356">
        <v>15.99</v>
      </c>
      <c r="I356">
        <v>3373.89</v>
      </c>
      <c r="J356">
        <v>2251.2399999999998</v>
      </c>
      <c r="K356">
        <v>1122.6500000000001</v>
      </c>
      <c r="L356" s="2">
        <v>45292</v>
      </c>
    </row>
    <row r="357" spans="1:12" x14ac:dyDescent="0.3">
      <c r="A357" t="s">
        <v>14</v>
      </c>
      <c r="B357" t="s">
        <v>32</v>
      </c>
      <c r="C357" t="s">
        <v>34</v>
      </c>
      <c r="D357" t="s">
        <v>45</v>
      </c>
      <c r="E357" t="s">
        <v>48</v>
      </c>
      <c r="F357" t="s">
        <v>54</v>
      </c>
      <c r="G357">
        <v>268</v>
      </c>
      <c r="H357">
        <v>160.85</v>
      </c>
      <c r="I357">
        <v>43107.8</v>
      </c>
      <c r="J357">
        <v>35048.6</v>
      </c>
      <c r="K357">
        <v>8059.2</v>
      </c>
      <c r="L357" s="2">
        <v>45292</v>
      </c>
    </row>
    <row r="358" spans="1:12" x14ac:dyDescent="0.3">
      <c r="A358" t="s">
        <v>14</v>
      </c>
      <c r="B358" t="s">
        <v>19</v>
      </c>
      <c r="C358" t="s">
        <v>35</v>
      </c>
      <c r="D358" t="s">
        <v>39</v>
      </c>
      <c r="E358" t="s">
        <v>49</v>
      </c>
      <c r="F358" t="s">
        <v>55</v>
      </c>
      <c r="G358">
        <v>137</v>
      </c>
      <c r="H358">
        <v>135.41999999999999</v>
      </c>
      <c r="I358">
        <v>18552.54</v>
      </c>
      <c r="J358">
        <v>12577.77</v>
      </c>
      <c r="K358">
        <v>5974.77</v>
      </c>
      <c r="L358" s="2">
        <v>45292</v>
      </c>
    </row>
    <row r="359" spans="1:12" x14ac:dyDescent="0.3">
      <c r="A359" t="s">
        <v>16</v>
      </c>
      <c r="B359" t="s">
        <v>25</v>
      </c>
      <c r="C359" t="s">
        <v>34</v>
      </c>
      <c r="D359" t="s">
        <v>38</v>
      </c>
      <c r="E359" t="s">
        <v>48</v>
      </c>
      <c r="F359" t="s">
        <v>53</v>
      </c>
      <c r="G359">
        <v>486</v>
      </c>
      <c r="H359">
        <v>233.63</v>
      </c>
      <c r="I359">
        <v>113544.18</v>
      </c>
      <c r="J359">
        <v>86709.45</v>
      </c>
      <c r="K359">
        <v>26834.73</v>
      </c>
      <c r="L359" s="2">
        <v>45292</v>
      </c>
    </row>
    <row r="360" spans="1:12" x14ac:dyDescent="0.3">
      <c r="A360" t="s">
        <v>14</v>
      </c>
      <c r="B360" t="s">
        <v>18</v>
      </c>
      <c r="C360" t="s">
        <v>34</v>
      </c>
      <c r="D360" t="s">
        <v>36</v>
      </c>
      <c r="E360" t="s">
        <v>48</v>
      </c>
      <c r="F360" t="s">
        <v>55</v>
      </c>
      <c r="G360">
        <v>363</v>
      </c>
      <c r="H360">
        <v>193.86</v>
      </c>
      <c r="I360">
        <v>70371.179999999993</v>
      </c>
      <c r="J360">
        <v>51722.559999999998</v>
      </c>
      <c r="K360">
        <v>18648.62</v>
      </c>
      <c r="L360" s="2">
        <v>45292</v>
      </c>
    </row>
    <row r="361" spans="1:12" x14ac:dyDescent="0.3">
      <c r="A361" t="s">
        <v>13</v>
      </c>
      <c r="B361" t="s">
        <v>30</v>
      </c>
      <c r="C361" t="s">
        <v>34</v>
      </c>
      <c r="D361" t="s">
        <v>43</v>
      </c>
      <c r="E361" t="s">
        <v>52</v>
      </c>
      <c r="F361" t="s">
        <v>53</v>
      </c>
      <c r="G361">
        <v>390</v>
      </c>
      <c r="H361">
        <v>142.49</v>
      </c>
      <c r="I361">
        <v>55571.1</v>
      </c>
      <c r="J361">
        <v>35986.800000000003</v>
      </c>
      <c r="K361">
        <v>19584.3</v>
      </c>
      <c r="L361" s="2">
        <v>45292</v>
      </c>
    </row>
    <row r="362" spans="1:12" x14ac:dyDescent="0.3">
      <c r="A362" t="s">
        <v>16</v>
      </c>
      <c r="B362" t="s">
        <v>22</v>
      </c>
      <c r="C362" t="s">
        <v>34</v>
      </c>
      <c r="D362" t="s">
        <v>36</v>
      </c>
      <c r="E362" t="s">
        <v>48</v>
      </c>
      <c r="F362" t="s">
        <v>55</v>
      </c>
      <c r="G362">
        <v>453</v>
      </c>
      <c r="H362">
        <v>119.88</v>
      </c>
      <c r="I362">
        <v>54305.64</v>
      </c>
      <c r="J362">
        <v>32674.49</v>
      </c>
      <c r="K362">
        <v>21631.15</v>
      </c>
      <c r="L362" s="2">
        <v>45292</v>
      </c>
    </row>
    <row r="363" spans="1:12" x14ac:dyDescent="0.3">
      <c r="A363" t="s">
        <v>15</v>
      </c>
      <c r="B363" t="s">
        <v>33</v>
      </c>
      <c r="C363" t="s">
        <v>35</v>
      </c>
      <c r="D363" t="s">
        <v>47</v>
      </c>
      <c r="E363" t="s">
        <v>51</v>
      </c>
      <c r="F363" t="s">
        <v>54</v>
      </c>
      <c r="G363">
        <v>132</v>
      </c>
      <c r="H363">
        <v>47.56</v>
      </c>
      <c r="I363">
        <v>6277.92</v>
      </c>
      <c r="J363">
        <v>5161.62</v>
      </c>
      <c r="K363">
        <v>1116.3</v>
      </c>
      <c r="L363" s="2">
        <v>45292</v>
      </c>
    </row>
    <row r="364" spans="1:12" x14ac:dyDescent="0.3">
      <c r="A364" t="s">
        <v>13</v>
      </c>
      <c r="B364" t="s">
        <v>27</v>
      </c>
      <c r="C364" t="s">
        <v>34</v>
      </c>
      <c r="D364" t="s">
        <v>43</v>
      </c>
      <c r="E364" t="s">
        <v>49</v>
      </c>
      <c r="F364" t="s">
        <v>55</v>
      </c>
      <c r="G364">
        <v>273</v>
      </c>
      <c r="H364">
        <v>38.840000000000003</v>
      </c>
      <c r="I364">
        <v>10603.32</v>
      </c>
      <c r="J364">
        <v>7006.6</v>
      </c>
      <c r="K364">
        <v>3596.72</v>
      </c>
      <c r="L364" s="2">
        <v>45292</v>
      </c>
    </row>
    <row r="365" spans="1:12" x14ac:dyDescent="0.3">
      <c r="A365" t="s">
        <v>15</v>
      </c>
      <c r="B365" t="s">
        <v>31</v>
      </c>
      <c r="C365" t="s">
        <v>35</v>
      </c>
      <c r="D365" t="s">
        <v>46</v>
      </c>
      <c r="E365" t="s">
        <v>50</v>
      </c>
      <c r="F365" t="s">
        <v>55</v>
      </c>
      <c r="G365">
        <v>137</v>
      </c>
      <c r="H365">
        <v>75.14</v>
      </c>
      <c r="I365">
        <v>10294.18</v>
      </c>
      <c r="J365">
        <v>7340.88</v>
      </c>
      <c r="K365">
        <v>2953.3</v>
      </c>
      <c r="L365" s="2">
        <v>45292</v>
      </c>
    </row>
    <row r="366" spans="1:12" x14ac:dyDescent="0.3">
      <c r="A366" t="s">
        <v>13</v>
      </c>
      <c r="B366" t="s">
        <v>17</v>
      </c>
      <c r="C366" t="s">
        <v>34</v>
      </c>
      <c r="D366" t="s">
        <v>38</v>
      </c>
      <c r="E366" t="s">
        <v>50</v>
      </c>
      <c r="F366" t="s">
        <v>55</v>
      </c>
      <c r="G366">
        <v>250</v>
      </c>
      <c r="H366">
        <v>190.53</v>
      </c>
      <c r="I366">
        <v>47632.5</v>
      </c>
      <c r="J366">
        <v>34173.269999999997</v>
      </c>
      <c r="K366">
        <v>13459.23</v>
      </c>
      <c r="L366" s="2">
        <v>45292</v>
      </c>
    </row>
    <row r="367" spans="1:12" x14ac:dyDescent="0.3">
      <c r="A367" t="s">
        <v>14</v>
      </c>
      <c r="B367" t="s">
        <v>23</v>
      </c>
      <c r="C367" t="s">
        <v>34</v>
      </c>
      <c r="D367" t="s">
        <v>45</v>
      </c>
      <c r="E367" t="s">
        <v>51</v>
      </c>
      <c r="F367" t="s">
        <v>53</v>
      </c>
      <c r="G367">
        <v>34</v>
      </c>
      <c r="H367">
        <v>193.54</v>
      </c>
      <c r="I367">
        <v>6580.36</v>
      </c>
      <c r="J367">
        <v>4061.78</v>
      </c>
      <c r="K367">
        <v>2518.58</v>
      </c>
      <c r="L367" s="2">
        <v>45292</v>
      </c>
    </row>
    <row r="368" spans="1:12" x14ac:dyDescent="0.3">
      <c r="A368" t="s">
        <v>15</v>
      </c>
      <c r="B368" t="s">
        <v>21</v>
      </c>
      <c r="C368" t="s">
        <v>35</v>
      </c>
      <c r="D368" t="s">
        <v>46</v>
      </c>
      <c r="E368" t="s">
        <v>51</v>
      </c>
      <c r="F368" t="s">
        <v>55</v>
      </c>
      <c r="G368">
        <v>215</v>
      </c>
      <c r="H368">
        <v>183.51</v>
      </c>
      <c r="I368">
        <v>39454.65</v>
      </c>
      <c r="J368">
        <v>29663.06</v>
      </c>
      <c r="K368">
        <v>9791.59</v>
      </c>
      <c r="L368" s="2">
        <v>45292</v>
      </c>
    </row>
    <row r="369" spans="1:12" x14ac:dyDescent="0.3">
      <c r="A369" t="s">
        <v>15</v>
      </c>
      <c r="B369" t="s">
        <v>33</v>
      </c>
      <c r="C369" t="s">
        <v>34</v>
      </c>
      <c r="D369" t="s">
        <v>38</v>
      </c>
      <c r="E369" t="s">
        <v>49</v>
      </c>
      <c r="F369" t="s">
        <v>54</v>
      </c>
      <c r="G369">
        <v>107</v>
      </c>
      <c r="H369">
        <v>142.66</v>
      </c>
      <c r="I369">
        <v>15264.62</v>
      </c>
      <c r="J369">
        <v>10651.54</v>
      </c>
      <c r="K369">
        <v>4613.08</v>
      </c>
      <c r="L369" s="2">
        <v>45292</v>
      </c>
    </row>
    <row r="370" spans="1:12" x14ac:dyDescent="0.3">
      <c r="A370" t="s">
        <v>15</v>
      </c>
      <c r="B370" t="s">
        <v>31</v>
      </c>
      <c r="C370" t="s">
        <v>35</v>
      </c>
      <c r="D370" t="s">
        <v>39</v>
      </c>
      <c r="E370" t="s">
        <v>51</v>
      </c>
      <c r="F370" t="s">
        <v>55</v>
      </c>
      <c r="G370">
        <v>481</v>
      </c>
      <c r="H370">
        <v>23.3</v>
      </c>
      <c r="I370">
        <v>11207.3</v>
      </c>
      <c r="J370">
        <v>8463.77</v>
      </c>
      <c r="K370">
        <v>2743.53</v>
      </c>
      <c r="L370" s="2">
        <v>45292</v>
      </c>
    </row>
    <row r="371" spans="1:12" x14ac:dyDescent="0.3">
      <c r="A371" t="s">
        <v>13</v>
      </c>
      <c r="B371" t="s">
        <v>17</v>
      </c>
      <c r="C371" t="s">
        <v>35</v>
      </c>
      <c r="D371" t="s">
        <v>39</v>
      </c>
      <c r="E371" t="s">
        <v>49</v>
      </c>
      <c r="F371" t="s">
        <v>54</v>
      </c>
      <c r="G371">
        <v>329</v>
      </c>
      <c r="H371">
        <v>133.05000000000001</v>
      </c>
      <c r="I371">
        <v>43773.45</v>
      </c>
      <c r="J371">
        <v>27168.19</v>
      </c>
      <c r="K371">
        <v>16605.259999999998</v>
      </c>
      <c r="L371" s="2">
        <v>45292</v>
      </c>
    </row>
    <row r="372" spans="1:12" x14ac:dyDescent="0.3">
      <c r="A372" t="s">
        <v>14</v>
      </c>
      <c r="B372" t="s">
        <v>32</v>
      </c>
      <c r="C372" t="s">
        <v>34</v>
      </c>
      <c r="D372" t="s">
        <v>38</v>
      </c>
      <c r="E372" t="s">
        <v>50</v>
      </c>
      <c r="F372" t="s">
        <v>55</v>
      </c>
      <c r="G372">
        <v>235</v>
      </c>
      <c r="H372">
        <v>299.17</v>
      </c>
      <c r="I372">
        <v>70304.95</v>
      </c>
      <c r="J372">
        <v>49673.63</v>
      </c>
      <c r="K372">
        <v>20631.32</v>
      </c>
      <c r="L372" s="2">
        <v>45292</v>
      </c>
    </row>
    <row r="373" spans="1:12" x14ac:dyDescent="0.3">
      <c r="A373" t="s">
        <v>13</v>
      </c>
      <c r="B373" t="s">
        <v>26</v>
      </c>
      <c r="C373" t="s">
        <v>35</v>
      </c>
      <c r="D373" t="s">
        <v>42</v>
      </c>
      <c r="E373" t="s">
        <v>48</v>
      </c>
      <c r="F373" t="s">
        <v>54</v>
      </c>
      <c r="G373">
        <v>261</v>
      </c>
      <c r="H373">
        <v>298.5</v>
      </c>
      <c r="I373">
        <v>77908.5</v>
      </c>
      <c r="J373">
        <v>60607.41</v>
      </c>
      <c r="K373">
        <v>17301.09</v>
      </c>
      <c r="L373" s="2">
        <v>45292</v>
      </c>
    </row>
    <row r="374" spans="1:12" x14ac:dyDescent="0.3">
      <c r="A374" t="s">
        <v>14</v>
      </c>
      <c r="B374" t="s">
        <v>19</v>
      </c>
      <c r="C374" t="s">
        <v>35</v>
      </c>
      <c r="D374" t="s">
        <v>41</v>
      </c>
      <c r="E374" t="s">
        <v>48</v>
      </c>
      <c r="F374" t="s">
        <v>54</v>
      </c>
      <c r="G374">
        <v>406</v>
      </c>
      <c r="H374">
        <v>257.72000000000003</v>
      </c>
      <c r="I374">
        <v>104634.32</v>
      </c>
      <c r="J374">
        <v>76566.789999999994</v>
      </c>
      <c r="K374">
        <v>28067.53</v>
      </c>
      <c r="L374" s="2">
        <v>45292</v>
      </c>
    </row>
    <row r="375" spans="1:12" x14ac:dyDescent="0.3">
      <c r="A375" t="s">
        <v>15</v>
      </c>
      <c r="B375" t="s">
        <v>21</v>
      </c>
      <c r="C375" t="s">
        <v>34</v>
      </c>
      <c r="D375" t="s">
        <v>43</v>
      </c>
      <c r="E375" t="s">
        <v>48</v>
      </c>
      <c r="F375" t="s">
        <v>54</v>
      </c>
      <c r="G375">
        <v>417</v>
      </c>
      <c r="H375">
        <v>42.49</v>
      </c>
      <c r="I375">
        <v>17718.330000000002</v>
      </c>
      <c r="J375">
        <v>12393.33</v>
      </c>
      <c r="K375">
        <v>5325</v>
      </c>
      <c r="L375" s="2">
        <v>45292</v>
      </c>
    </row>
    <row r="376" spans="1:12" x14ac:dyDescent="0.3">
      <c r="A376" t="s">
        <v>14</v>
      </c>
      <c r="B376" t="s">
        <v>23</v>
      </c>
      <c r="C376" t="s">
        <v>34</v>
      </c>
      <c r="D376" t="s">
        <v>37</v>
      </c>
      <c r="E376" t="s">
        <v>50</v>
      </c>
      <c r="F376" t="s">
        <v>54</v>
      </c>
      <c r="G376">
        <v>98</v>
      </c>
      <c r="H376">
        <v>208.06</v>
      </c>
      <c r="I376">
        <v>20389.88</v>
      </c>
      <c r="J376">
        <v>14537.72</v>
      </c>
      <c r="K376">
        <v>5852.16</v>
      </c>
      <c r="L376" s="2">
        <v>45292</v>
      </c>
    </row>
    <row r="377" spans="1:12" x14ac:dyDescent="0.3">
      <c r="A377" t="s">
        <v>14</v>
      </c>
      <c r="B377" t="s">
        <v>32</v>
      </c>
      <c r="C377" t="s">
        <v>35</v>
      </c>
      <c r="D377" t="s">
        <v>46</v>
      </c>
      <c r="E377" t="s">
        <v>51</v>
      </c>
      <c r="F377" t="s">
        <v>55</v>
      </c>
      <c r="G377">
        <v>340</v>
      </c>
      <c r="H377">
        <v>65.510000000000005</v>
      </c>
      <c r="I377">
        <v>22273.4</v>
      </c>
      <c r="J377">
        <v>15656.28</v>
      </c>
      <c r="K377">
        <v>6617.12</v>
      </c>
      <c r="L377" s="2">
        <v>45292</v>
      </c>
    </row>
    <row r="378" spans="1:12" x14ac:dyDescent="0.3">
      <c r="A378" t="s">
        <v>16</v>
      </c>
      <c r="B378" t="s">
        <v>22</v>
      </c>
      <c r="C378" t="s">
        <v>34</v>
      </c>
      <c r="D378" t="s">
        <v>37</v>
      </c>
      <c r="E378" t="s">
        <v>48</v>
      </c>
      <c r="F378" t="s">
        <v>53</v>
      </c>
      <c r="G378">
        <v>431</v>
      </c>
      <c r="H378">
        <v>166.54</v>
      </c>
      <c r="I378">
        <v>71778.740000000005</v>
      </c>
      <c r="J378">
        <v>50940.38</v>
      </c>
      <c r="K378">
        <v>20838.36</v>
      </c>
      <c r="L378" s="2">
        <v>45292</v>
      </c>
    </row>
    <row r="379" spans="1:12" x14ac:dyDescent="0.3">
      <c r="A379" t="s">
        <v>15</v>
      </c>
      <c r="B379" t="s">
        <v>29</v>
      </c>
      <c r="C379" t="s">
        <v>34</v>
      </c>
      <c r="D379" t="s">
        <v>37</v>
      </c>
      <c r="E379" t="s">
        <v>52</v>
      </c>
      <c r="F379" t="s">
        <v>53</v>
      </c>
      <c r="G379">
        <v>272</v>
      </c>
      <c r="H379">
        <v>211.59</v>
      </c>
      <c r="I379">
        <v>57552.480000000003</v>
      </c>
      <c r="J379">
        <v>40348.870000000003</v>
      </c>
      <c r="K379">
        <v>17203.61</v>
      </c>
      <c r="L379" s="2">
        <v>45292</v>
      </c>
    </row>
    <row r="380" spans="1:12" x14ac:dyDescent="0.3">
      <c r="A380" t="s">
        <v>16</v>
      </c>
      <c r="B380" t="s">
        <v>24</v>
      </c>
      <c r="C380" t="s">
        <v>34</v>
      </c>
      <c r="D380" t="s">
        <v>36</v>
      </c>
      <c r="E380" t="s">
        <v>48</v>
      </c>
      <c r="F380" t="s">
        <v>53</v>
      </c>
      <c r="G380">
        <v>358</v>
      </c>
      <c r="H380">
        <v>128.32</v>
      </c>
      <c r="I380">
        <v>45938.559999999998</v>
      </c>
      <c r="J380">
        <v>33899.47</v>
      </c>
      <c r="K380">
        <v>12039.09</v>
      </c>
      <c r="L380" s="2">
        <v>45292</v>
      </c>
    </row>
    <row r="381" spans="1:12" x14ac:dyDescent="0.3">
      <c r="A381" t="s">
        <v>14</v>
      </c>
      <c r="B381" t="s">
        <v>23</v>
      </c>
      <c r="C381" t="s">
        <v>34</v>
      </c>
      <c r="D381" t="s">
        <v>45</v>
      </c>
      <c r="E381" t="s">
        <v>49</v>
      </c>
      <c r="F381" t="s">
        <v>54</v>
      </c>
      <c r="G381">
        <v>146</v>
      </c>
      <c r="H381">
        <v>200.63</v>
      </c>
      <c r="I381">
        <v>29291.98</v>
      </c>
      <c r="J381">
        <v>21033.71</v>
      </c>
      <c r="K381">
        <v>8258.27</v>
      </c>
      <c r="L381" s="2">
        <v>45292</v>
      </c>
    </row>
    <row r="382" spans="1:12" x14ac:dyDescent="0.3">
      <c r="A382" t="s">
        <v>16</v>
      </c>
      <c r="B382" t="s">
        <v>25</v>
      </c>
      <c r="C382" t="s">
        <v>35</v>
      </c>
      <c r="D382" t="s">
        <v>42</v>
      </c>
      <c r="E382" t="s">
        <v>49</v>
      </c>
      <c r="F382" t="s">
        <v>53</v>
      </c>
      <c r="G382">
        <v>26</v>
      </c>
      <c r="H382">
        <v>129.71</v>
      </c>
      <c r="I382">
        <v>3372.46</v>
      </c>
      <c r="J382">
        <v>2617.81</v>
      </c>
      <c r="K382">
        <v>754.65</v>
      </c>
      <c r="L382" s="2">
        <v>45292</v>
      </c>
    </row>
    <row r="383" spans="1:12" x14ac:dyDescent="0.3">
      <c r="A383" t="s">
        <v>16</v>
      </c>
      <c r="B383" t="s">
        <v>25</v>
      </c>
      <c r="C383" t="s">
        <v>35</v>
      </c>
      <c r="D383" t="s">
        <v>40</v>
      </c>
      <c r="E383" t="s">
        <v>49</v>
      </c>
      <c r="F383" t="s">
        <v>54</v>
      </c>
      <c r="G383">
        <v>41</v>
      </c>
      <c r="H383">
        <v>85</v>
      </c>
      <c r="I383">
        <v>3485</v>
      </c>
      <c r="J383">
        <v>2234.5</v>
      </c>
      <c r="K383">
        <v>1250.5</v>
      </c>
      <c r="L383" s="2">
        <v>45292</v>
      </c>
    </row>
    <row r="384" spans="1:12" x14ac:dyDescent="0.3">
      <c r="A384" t="s">
        <v>13</v>
      </c>
      <c r="B384" t="s">
        <v>27</v>
      </c>
      <c r="C384" t="s">
        <v>35</v>
      </c>
      <c r="D384" t="s">
        <v>41</v>
      </c>
      <c r="E384" t="s">
        <v>51</v>
      </c>
      <c r="F384" t="s">
        <v>55</v>
      </c>
      <c r="G384">
        <v>226</v>
      </c>
      <c r="H384">
        <v>163.79</v>
      </c>
      <c r="I384">
        <v>37016.54</v>
      </c>
      <c r="J384">
        <v>22598.15</v>
      </c>
      <c r="K384">
        <v>14418.39</v>
      </c>
      <c r="L384" s="2">
        <v>45292</v>
      </c>
    </row>
    <row r="385" spans="1:12" x14ac:dyDescent="0.3">
      <c r="A385" t="s">
        <v>16</v>
      </c>
      <c r="B385" t="s">
        <v>25</v>
      </c>
      <c r="C385" t="s">
        <v>35</v>
      </c>
      <c r="D385" t="s">
        <v>42</v>
      </c>
      <c r="E385" t="s">
        <v>49</v>
      </c>
      <c r="F385" t="s">
        <v>55</v>
      </c>
      <c r="G385">
        <v>353</v>
      </c>
      <c r="H385">
        <v>156.58000000000001</v>
      </c>
      <c r="I385">
        <v>55272.74</v>
      </c>
      <c r="J385">
        <v>46484.61</v>
      </c>
      <c r="K385">
        <v>8788.1299999999992</v>
      </c>
      <c r="L385" s="2">
        <v>45292</v>
      </c>
    </row>
    <row r="386" spans="1:12" x14ac:dyDescent="0.3">
      <c r="A386" t="s">
        <v>13</v>
      </c>
      <c r="B386" t="s">
        <v>27</v>
      </c>
      <c r="C386" t="s">
        <v>34</v>
      </c>
      <c r="D386" t="s">
        <v>37</v>
      </c>
      <c r="E386" t="s">
        <v>51</v>
      </c>
      <c r="F386" t="s">
        <v>53</v>
      </c>
      <c r="G386">
        <v>156</v>
      </c>
      <c r="H386">
        <v>100.45</v>
      </c>
      <c r="I386">
        <v>15670.2</v>
      </c>
      <c r="J386">
        <v>10405.200000000001</v>
      </c>
      <c r="K386">
        <v>5265</v>
      </c>
      <c r="L386" s="2">
        <v>45292</v>
      </c>
    </row>
    <row r="387" spans="1:12" x14ac:dyDescent="0.3">
      <c r="A387" t="s">
        <v>15</v>
      </c>
      <c r="B387" t="s">
        <v>21</v>
      </c>
      <c r="C387" t="s">
        <v>35</v>
      </c>
      <c r="D387" t="s">
        <v>44</v>
      </c>
      <c r="E387" t="s">
        <v>48</v>
      </c>
      <c r="F387" t="s">
        <v>55</v>
      </c>
      <c r="G387">
        <v>75</v>
      </c>
      <c r="H387">
        <v>32.29</v>
      </c>
      <c r="I387">
        <v>2421.75</v>
      </c>
      <c r="J387">
        <v>1756.15</v>
      </c>
      <c r="K387">
        <v>665.6</v>
      </c>
      <c r="L387" s="2">
        <v>45292</v>
      </c>
    </row>
    <row r="388" spans="1:12" x14ac:dyDescent="0.3">
      <c r="A388" t="s">
        <v>14</v>
      </c>
      <c r="B388" t="s">
        <v>23</v>
      </c>
      <c r="C388" t="s">
        <v>34</v>
      </c>
      <c r="D388" t="s">
        <v>45</v>
      </c>
      <c r="E388" t="s">
        <v>49</v>
      </c>
      <c r="F388" t="s">
        <v>55</v>
      </c>
      <c r="G388">
        <v>188</v>
      </c>
      <c r="H388">
        <v>269.39</v>
      </c>
      <c r="I388">
        <v>50645.32</v>
      </c>
      <c r="J388">
        <v>36160.5</v>
      </c>
      <c r="K388">
        <v>14484.82</v>
      </c>
      <c r="L388" s="2">
        <v>45323</v>
      </c>
    </row>
    <row r="389" spans="1:12" x14ac:dyDescent="0.3">
      <c r="A389" t="s">
        <v>14</v>
      </c>
      <c r="B389" t="s">
        <v>23</v>
      </c>
      <c r="C389" t="s">
        <v>34</v>
      </c>
      <c r="D389" t="s">
        <v>36</v>
      </c>
      <c r="E389" t="s">
        <v>49</v>
      </c>
      <c r="F389" t="s">
        <v>55</v>
      </c>
      <c r="G389">
        <v>356</v>
      </c>
      <c r="H389">
        <v>10.61</v>
      </c>
      <c r="I389">
        <v>3777.16</v>
      </c>
      <c r="J389">
        <v>2943.89</v>
      </c>
      <c r="K389">
        <v>833.27</v>
      </c>
      <c r="L389" s="2">
        <v>45323</v>
      </c>
    </row>
    <row r="390" spans="1:12" x14ac:dyDescent="0.3">
      <c r="A390" t="s">
        <v>16</v>
      </c>
      <c r="B390" t="s">
        <v>24</v>
      </c>
      <c r="C390" t="s">
        <v>35</v>
      </c>
      <c r="D390" t="s">
        <v>42</v>
      </c>
      <c r="E390" t="s">
        <v>49</v>
      </c>
      <c r="F390" t="s">
        <v>54</v>
      </c>
      <c r="G390">
        <v>78</v>
      </c>
      <c r="H390">
        <v>58.72</v>
      </c>
      <c r="I390">
        <v>4580.16</v>
      </c>
      <c r="J390">
        <v>3591.85</v>
      </c>
      <c r="K390">
        <v>988.31</v>
      </c>
      <c r="L390" s="2">
        <v>45323</v>
      </c>
    </row>
    <row r="391" spans="1:12" x14ac:dyDescent="0.3">
      <c r="A391" t="s">
        <v>14</v>
      </c>
      <c r="B391" t="s">
        <v>19</v>
      </c>
      <c r="C391" t="s">
        <v>34</v>
      </c>
      <c r="D391" t="s">
        <v>43</v>
      </c>
      <c r="E391" t="s">
        <v>49</v>
      </c>
      <c r="F391" t="s">
        <v>54</v>
      </c>
      <c r="G391">
        <v>236</v>
      </c>
      <c r="H391">
        <v>254.04</v>
      </c>
      <c r="I391">
        <v>59953.440000000002</v>
      </c>
      <c r="J391">
        <v>48658.33</v>
      </c>
      <c r="K391">
        <v>11295.11</v>
      </c>
      <c r="L391" s="2">
        <v>45323</v>
      </c>
    </row>
    <row r="392" spans="1:12" x14ac:dyDescent="0.3">
      <c r="A392" t="s">
        <v>14</v>
      </c>
      <c r="B392" t="s">
        <v>23</v>
      </c>
      <c r="C392" t="s">
        <v>34</v>
      </c>
      <c r="D392" t="s">
        <v>36</v>
      </c>
      <c r="E392" t="s">
        <v>51</v>
      </c>
      <c r="F392" t="s">
        <v>55</v>
      </c>
      <c r="G392">
        <v>471</v>
      </c>
      <c r="H392">
        <v>265.77999999999997</v>
      </c>
      <c r="I392">
        <v>125182.38</v>
      </c>
      <c r="J392">
        <v>100890.05</v>
      </c>
      <c r="K392">
        <v>24292.33</v>
      </c>
      <c r="L392" s="2">
        <v>45323</v>
      </c>
    </row>
    <row r="393" spans="1:12" x14ac:dyDescent="0.3">
      <c r="A393" t="s">
        <v>15</v>
      </c>
      <c r="B393" t="s">
        <v>21</v>
      </c>
      <c r="C393" t="s">
        <v>35</v>
      </c>
      <c r="D393" t="s">
        <v>47</v>
      </c>
      <c r="E393" t="s">
        <v>51</v>
      </c>
      <c r="F393" t="s">
        <v>54</v>
      </c>
      <c r="G393">
        <v>371</v>
      </c>
      <c r="H393">
        <v>171.83</v>
      </c>
      <c r="I393">
        <v>63748.93</v>
      </c>
      <c r="J393">
        <v>51186.44</v>
      </c>
      <c r="K393">
        <v>12562.49</v>
      </c>
      <c r="L393" s="2">
        <v>45323</v>
      </c>
    </row>
    <row r="394" spans="1:12" x14ac:dyDescent="0.3">
      <c r="A394" t="s">
        <v>16</v>
      </c>
      <c r="B394" t="s">
        <v>25</v>
      </c>
      <c r="C394" t="s">
        <v>35</v>
      </c>
      <c r="D394" t="s">
        <v>42</v>
      </c>
      <c r="E394" t="s">
        <v>52</v>
      </c>
      <c r="F394" t="s">
        <v>53</v>
      </c>
      <c r="G394">
        <v>28</v>
      </c>
      <c r="H394">
        <v>184.93</v>
      </c>
      <c r="I394">
        <v>5178.04</v>
      </c>
      <c r="J394">
        <v>3543.37</v>
      </c>
      <c r="K394">
        <v>1634.67</v>
      </c>
      <c r="L394" s="2">
        <v>45323</v>
      </c>
    </row>
    <row r="395" spans="1:12" x14ac:dyDescent="0.3">
      <c r="A395" t="s">
        <v>13</v>
      </c>
      <c r="B395" t="s">
        <v>17</v>
      </c>
      <c r="C395" t="s">
        <v>35</v>
      </c>
      <c r="D395" t="s">
        <v>39</v>
      </c>
      <c r="E395" t="s">
        <v>49</v>
      </c>
      <c r="F395" t="s">
        <v>54</v>
      </c>
      <c r="G395">
        <v>183</v>
      </c>
      <c r="H395">
        <v>211.03</v>
      </c>
      <c r="I395">
        <v>38618.49</v>
      </c>
      <c r="J395">
        <v>31101.79</v>
      </c>
      <c r="K395">
        <v>7516.7</v>
      </c>
      <c r="L395" s="2">
        <v>45323</v>
      </c>
    </row>
    <row r="396" spans="1:12" x14ac:dyDescent="0.3">
      <c r="A396" t="s">
        <v>16</v>
      </c>
      <c r="B396" t="s">
        <v>28</v>
      </c>
      <c r="C396" t="s">
        <v>35</v>
      </c>
      <c r="D396" t="s">
        <v>39</v>
      </c>
      <c r="E396" t="s">
        <v>48</v>
      </c>
      <c r="F396" t="s">
        <v>53</v>
      </c>
      <c r="G396">
        <v>429</v>
      </c>
      <c r="H396">
        <v>299.33</v>
      </c>
      <c r="I396">
        <v>128412.57</v>
      </c>
      <c r="J396">
        <v>101202.05</v>
      </c>
      <c r="K396">
        <v>27210.52</v>
      </c>
      <c r="L396" s="2">
        <v>45323</v>
      </c>
    </row>
    <row r="397" spans="1:12" x14ac:dyDescent="0.3">
      <c r="A397" t="s">
        <v>13</v>
      </c>
      <c r="B397" t="s">
        <v>30</v>
      </c>
      <c r="C397" t="s">
        <v>34</v>
      </c>
      <c r="D397" t="s">
        <v>45</v>
      </c>
      <c r="E397" t="s">
        <v>52</v>
      </c>
      <c r="F397" t="s">
        <v>53</v>
      </c>
      <c r="G397">
        <v>163</v>
      </c>
      <c r="H397">
        <v>268.83999999999997</v>
      </c>
      <c r="I397">
        <v>43820.92</v>
      </c>
      <c r="J397">
        <v>30887.7</v>
      </c>
      <c r="K397">
        <v>12933.22</v>
      </c>
      <c r="L397" s="2">
        <v>45323</v>
      </c>
    </row>
    <row r="398" spans="1:12" x14ac:dyDescent="0.3">
      <c r="A398" t="s">
        <v>16</v>
      </c>
      <c r="B398" t="s">
        <v>24</v>
      </c>
      <c r="C398" t="s">
        <v>35</v>
      </c>
      <c r="D398" t="s">
        <v>44</v>
      </c>
      <c r="E398" t="s">
        <v>49</v>
      </c>
      <c r="F398" t="s">
        <v>55</v>
      </c>
      <c r="G398">
        <v>349</v>
      </c>
      <c r="H398">
        <v>134.79</v>
      </c>
      <c r="I398">
        <v>47041.71</v>
      </c>
      <c r="J398">
        <v>30583.279999999999</v>
      </c>
      <c r="K398">
        <v>16458.43</v>
      </c>
      <c r="L398" s="2">
        <v>45323</v>
      </c>
    </row>
    <row r="399" spans="1:12" x14ac:dyDescent="0.3">
      <c r="A399" t="s">
        <v>14</v>
      </c>
      <c r="B399" t="s">
        <v>23</v>
      </c>
      <c r="C399" t="s">
        <v>34</v>
      </c>
      <c r="D399" t="s">
        <v>37</v>
      </c>
      <c r="E399" t="s">
        <v>52</v>
      </c>
      <c r="F399" t="s">
        <v>53</v>
      </c>
      <c r="G399">
        <v>344</v>
      </c>
      <c r="H399">
        <v>271.2</v>
      </c>
      <c r="I399">
        <v>93292.800000000003</v>
      </c>
      <c r="J399">
        <v>65811.56</v>
      </c>
      <c r="K399">
        <v>27481.24</v>
      </c>
      <c r="L399" s="2">
        <v>45323</v>
      </c>
    </row>
    <row r="400" spans="1:12" x14ac:dyDescent="0.3">
      <c r="A400" t="s">
        <v>16</v>
      </c>
      <c r="B400" t="s">
        <v>24</v>
      </c>
      <c r="C400" t="s">
        <v>35</v>
      </c>
      <c r="D400" t="s">
        <v>47</v>
      </c>
      <c r="E400" t="s">
        <v>50</v>
      </c>
      <c r="F400" t="s">
        <v>54</v>
      </c>
      <c r="G400">
        <v>340</v>
      </c>
      <c r="H400">
        <v>118.94</v>
      </c>
      <c r="I400">
        <v>40439.599999999999</v>
      </c>
      <c r="J400">
        <v>27265.08</v>
      </c>
      <c r="K400">
        <v>13174.52</v>
      </c>
      <c r="L400" s="2">
        <v>45323</v>
      </c>
    </row>
    <row r="401" spans="1:12" x14ac:dyDescent="0.3">
      <c r="A401" t="s">
        <v>13</v>
      </c>
      <c r="B401" t="s">
        <v>26</v>
      </c>
      <c r="C401" t="s">
        <v>34</v>
      </c>
      <c r="D401" t="s">
        <v>43</v>
      </c>
      <c r="E401" t="s">
        <v>48</v>
      </c>
      <c r="F401" t="s">
        <v>54</v>
      </c>
      <c r="G401">
        <v>137</v>
      </c>
      <c r="H401">
        <v>62.81</v>
      </c>
      <c r="I401">
        <v>8604.9699999999993</v>
      </c>
      <c r="J401">
        <v>6205.86</v>
      </c>
      <c r="K401">
        <v>2399.11</v>
      </c>
      <c r="L401" s="2">
        <v>45323</v>
      </c>
    </row>
    <row r="402" spans="1:12" x14ac:dyDescent="0.3">
      <c r="A402" t="s">
        <v>13</v>
      </c>
      <c r="B402" t="s">
        <v>27</v>
      </c>
      <c r="C402" t="s">
        <v>35</v>
      </c>
      <c r="D402" t="s">
        <v>40</v>
      </c>
      <c r="E402" t="s">
        <v>50</v>
      </c>
      <c r="F402" t="s">
        <v>55</v>
      </c>
      <c r="G402">
        <v>381</v>
      </c>
      <c r="H402">
        <v>254.92</v>
      </c>
      <c r="I402">
        <v>97124.52</v>
      </c>
      <c r="J402">
        <v>66022.83</v>
      </c>
      <c r="K402">
        <v>31101.69</v>
      </c>
      <c r="L402" s="2">
        <v>45323</v>
      </c>
    </row>
    <row r="403" spans="1:12" x14ac:dyDescent="0.3">
      <c r="A403" t="s">
        <v>15</v>
      </c>
      <c r="B403" t="s">
        <v>20</v>
      </c>
      <c r="C403" t="s">
        <v>35</v>
      </c>
      <c r="D403" t="s">
        <v>40</v>
      </c>
      <c r="E403" t="s">
        <v>52</v>
      </c>
      <c r="F403" t="s">
        <v>54</v>
      </c>
      <c r="G403">
        <v>222</v>
      </c>
      <c r="H403">
        <v>167.32</v>
      </c>
      <c r="I403">
        <v>37145.040000000001</v>
      </c>
      <c r="J403">
        <v>23676.26</v>
      </c>
      <c r="K403">
        <v>13468.78</v>
      </c>
      <c r="L403" s="2">
        <v>45323</v>
      </c>
    </row>
    <row r="404" spans="1:12" x14ac:dyDescent="0.3">
      <c r="A404" t="s">
        <v>13</v>
      </c>
      <c r="B404" t="s">
        <v>26</v>
      </c>
      <c r="C404" t="s">
        <v>35</v>
      </c>
      <c r="D404" t="s">
        <v>46</v>
      </c>
      <c r="E404" t="s">
        <v>51</v>
      </c>
      <c r="F404" t="s">
        <v>54</v>
      </c>
      <c r="G404">
        <v>27</v>
      </c>
      <c r="H404">
        <v>194.46</v>
      </c>
      <c r="I404">
        <v>5250.42</v>
      </c>
      <c r="J404">
        <v>3440.42</v>
      </c>
      <c r="K404">
        <v>1810</v>
      </c>
      <c r="L404" s="2">
        <v>45323</v>
      </c>
    </row>
    <row r="405" spans="1:12" x14ac:dyDescent="0.3">
      <c r="A405" t="s">
        <v>15</v>
      </c>
      <c r="B405" t="s">
        <v>20</v>
      </c>
      <c r="C405" t="s">
        <v>35</v>
      </c>
      <c r="D405" t="s">
        <v>39</v>
      </c>
      <c r="E405" t="s">
        <v>48</v>
      </c>
      <c r="F405" t="s">
        <v>53</v>
      </c>
      <c r="G405">
        <v>487</v>
      </c>
      <c r="H405">
        <v>218.32</v>
      </c>
      <c r="I405">
        <v>106321.84</v>
      </c>
      <c r="J405">
        <v>70367.520000000004</v>
      </c>
      <c r="K405">
        <v>35954.32</v>
      </c>
      <c r="L405" s="2">
        <v>45323</v>
      </c>
    </row>
    <row r="406" spans="1:12" x14ac:dyDescent="0.3">
      <c r="A406" t="s">
        <v>14</v>
      </c>
      <c r="B406" t="s">
        <v>19</v>
      </c>
      <c r="C406" t="s">
        <v>34</v>
      </c>
      <c r="D406" t="s">
        <v>43</v>
      </c>
      <c r="E406" t="s">
        <v>52</v>
      </c>
      <c r="F406" t="s">
        <v>54</v>
      </c>
      <c r="G406">
        <v>156</v>
      </c>
      <c r="H406">
        <v>261.77</v>
      </c>
      <c r="I406">
        <v>40836.120000000003</v>
      </c>
      <c r="J406">
        <v>27005.8</v>
      </c>
      <c r="K406">
        <v>13830.32</v>
      </c>
      <c r="L406" s="2">
        <v>45323</v>
      </c>
    </row>
    <row r="407" spans="1:12" x14ac:dyDescent="0.3">
      <c r="A407" t="s">
        <v>16</v>
      </c>
      <c r="B407" t="s">
        <v>25</v>
      </c>
      <c r="C407" t="s">
        <v>34</v>
      </c>
      <c r="D407" t="s">
        <v>38</v>
      </c>
      <c r="E407" t="s">
        <v>52</v>
      </c>
      <c r="F407" t="s">
        <v>53</v>
      </c>
      <c r="G407">
        <v>56</v>
      </c>
      <c r="H407">
        <v>54.79</v>
      </c>
      <c r="I407">
        <v>3068.24</v>
      </c>
      <c r="J407">
        <v>1860.46</v>
      </c>
      <c r="K407">
        <v>1207.78</v>
      </c>
      <c r="L407" s="2">
        <v>45323</v>
      </c>
    </row>
    <row r="408" spans="1:12" x14ac:dyDescent="0.3">
      <c r="A408" t="s">
        <v>14</v>
      </c>
      <c r="B408" t="s">
        <v>32</v>
      </c>
      <c r="C408" t="s">
        <v>35</v>
      </c>
      <c r="D408" t="s">
        <v>47</v>
      </c>
      <c r="E408" t="s">
        <v>51</v>
      </c>
      <c r="F408" t="s">
        <v>54</v>
      </c>
      <c r="G408">
        <v>142</v>
      </c>
      <c r="H408">
        <v>240.98</v>
      </c>
      <c r="I408">
        <v>34219.160000000003</v>
      </c>
      <c r="J408">
        <v>24461.11</v>
      </c>
      <c r="K408">
        <v>9758.0499999999993</v>
      </c>
      <c r="L408" s="2">
        <v>45323</v>
      </c>
    </row>
    <row r="409" spans="1:12" x14ac:dyDescent="0.3">
      <c r="A409" t="s">
        <v>13</v>
      </c>
      <c r="B409" t="s">
        <v>30</v>
      </c>
      <c r="C409" t="s">
        <v>34</v>
      </c>
      <c r="D409" t="s">
        <v>45</v>
      </c>
      <c r="E409" t="s">
        <v>51</v>
      </c>
      <c r="F409" t="s">
        <v>55</v>
      </c>
      <c r="G409">
        <v>302</v>
      </c>
      <c r="H409">
        <v>281.62</v>
      </c>
      <c r="I409">
        <v>85049.24</v>
      </c>
      <c r="J409">
        <v>51866.080000000002</v>
      </c>
      <c r="K409">
        <v>33183.160000000003</v>
      </c>
      <c r="L409" s="2">
        <v>45323</v>
      </c>
    </row>
    <row r="410" spans="1:12" x14ac:dyDescent="0.3">
      <c r="A410" t="s">
        <v>15</v>
      </c>
      <c r="B410" t="s">
        <v>21</v>
      </c>
      <c r="C410" t="s">
        <v>34</v>
      </c>
      <c r="D410" t="s">
        <v>37</v>
      </c>
      <c r="E410" t="s">
        <v>49</v>
      </c>
      <c r="F410" t="s">
        <v>53</v>
      </c>
      <c r="G410">
        <v>234</v>
      </c>
      <c r="H410">
        <v>185.78</v>
      </c>
      <c r="I410">
        <v>43472.52</v>
      </c>
      <c r="J410">
        <v>29247.71</v>
      </c>
      <c r="K410">
        <v>14224.81</v>
      </c>
      <c r="L410" s="2">
        <v>45323</v>
      </c>
    </row>
    <row r="411" spans="1:12" x14ac:dyDescent="0.3">
      <c r="A411" t="s">
        <v>16</v>
      </c>
      <c r="B411" t="s">
        <v>24</v>
      </c>
      <c r="C411" t="s">
        <v>34</v>
      </c>
      <c r="D411" t="s">
        <v>45</v>
      </c>
      <c r="E411" t="s">
        <v>49</v>
      </c>
      <c r="F411" t="s">
        <v>55</v>
      </c>
      <c r="G411">
        <v>394</v>
      </c>
      <c r="H411">
        <v>128.72999999999999</v>
      </c>
      <c r="I411">
        <v>50719.62</v>
      </c>
      <c r="J411">
        <v>40713.64</v>
      </c>
      <c r="K411">
        <v>10005.98</v>
      </c>
      <c r="L411" s="2">
        <v>45323</v>
      </c>
    </row>
    <row r="412" spans="1:12" x14ac:dyDescent="0.3">
      <c r="A412" t="s">
        <v>14</v>
      </c>
      <c r="B412" t="s">
        <v>19</v>
      </c>
      <c r="C412" t="s">
        <v>34</v>
      </c>
      <c r="D412" t="s">
        <v>36</v>
      </c>
      <c r="E412" t="s">
        <v>49</v>
      </c>
      <c r="F412" t="s">
        <v>55</v>
      </c>
      <c r="G412">
        <v>50</v>
      </c>
      <c r="H412">
        <v>80.19</v>
      </c>
      <c r="I412">
        <v>4009.5</v>
      </c>
      <c r="J412">
        <v>3394.71</v>
      </c>
      <c r="K412">
        <v>614.79</v>
      </c>
      <c r="L412" s="2">
        <v>45323</v>
      </c>
    </row>
    <row r="413" spans="1:12" x14ac:dyDescent="0.3">
      <c r="A413" t="s">
        <v>16</v>
      </c>
      <c r="B413" t="s">
        <v>24</v>
      </c>
      <c r="C413" t="s">
        <v>34</v>
      </c>
      <c r="D413" t="s">
        <v>36</v>
      </c>
      <c r="E413" t="s">
        <v>51</v>
      </c>
      <c r="F413" t="s">
        <v>53</v>
      </c>
      <c r="G413">
        <v>276</v>
      </c>
      <c r="H413">
        <v>23.01</v>
      </c>
      <c r="I413">
        <v>6350.76</v>
      </c>
      <c r="J413">
        <v>4525.8599999999997</v>
      </c>
      <c r="K413">
        <v>1824.9</v>
      </c>
      <c r="L413" s="2">
        <v>45323</v>
      </c>
    </row>
    <row r="414" spans="1:12" x14ac:dyDescent="0.3">
      <c r="A414" t="s">
        <v>15</v>
      </c>
      <c r="B414" t="s">
        <v>21</v>
      </c>
      <c r="C414" t="s">
        <v>35</v>
      </c>
      <c r="D414" t="s">
        <v>44</v>
      </c>
      <c r="E414" t="s">
        <v>51</v>
      </c>
      <c r="F414" t="s">
        <v>55</v>
      </c>
      <c r="G414">
        <v>303</v>
      </c>
      <c r="H414">
        <v>255.23</v>
      </c>
      <c r="I414">
        <v>77334.69</v>
      </c>
      <c r="J414">
        <v>59789.24</v>
      </c>
      <c r="K414">
        <v>17545.45</v>
      </c>
      <c r="L414" s="2">
        <v>45323</v>
      </c>
    </row>
    <row r="415" spans="1:12" x14ac:dyDescent="0.3">
      <c r="A415" t="s">
        <v>16</v>
      </c>
      <c r="B415" t="s">
        <v>25</v>
      </c>
      <c r="C415" t="s">
        <v>34</v>
      </c>
      <c r="D415" t="s">
        <v>37</v>
      </c>
      <c r="E415" t="s">
        <v>50</v>
      </c>
      <c r="F415" t="s">
        <v>53</v>
      </c>
      <c r="G415">
        <v>337</v>
      </c>
      <c r="H415">
        <v>40.19</v>
      </c>
      <c r="I415">
        <v>13544.03</v>
      </c>
      <c r="J415">
        <v>10834.94</v>
      </c>
      <c r="K415">
        <v>2709.09</v>
      </c>
      <c r="L415" s="2">
        <v>45323</v>
      </c>
    </row>
    <row r="416" spans="1:12" x14ac:dyDescent="0.3">
      <c r="A416" t="s">
        <v>13</v>
      </c>
      <c r="B416" t="s">
        <v>26</v>
      </c>
      <c r="C416" t="s">
        <v>35</v>
      </c>
      <c r="D416" t="s">
        <v>46</v>
      </c>
      <c r="E416" t="s">
        <v>52</v>
      </c>
      <c r="F416" t="s">
        <v>54</v>
      </c>
      <c r="G416">
        <v>488</v>
      </c>
      <c r="H416">
        <v>239.6</v>
      </c>
      <c r="I416">
        <v>116924.8</v>
      </c>
      <c r="J416">
        <v>87576.35</v>
      </c>
      <c r="K416">
        <v>29348.45</v>
      </c>
      <c r="L416" s="2">
        <v>45323</v>
      </c>
    </row>
    <row r="417" spans="1:12" x14ac:dyDescent="0.3">
      <c r="A417" t="s">
        <v>15</v>
      </c>
      <c r="B417" t="s">
        <v>31</v>
      </c>
      <c r="C417" t="s">
        <v>35</v>
      </c>
      <c r="D417" t="s">
        <v>39</v>
      </c>
      <c r="E417" t="s">
        <v>49</v>
      </c>
      <c r="F417" t="s">
        <v>53</v>
      </c>
      <c r="G417">
        <v>491</v>
      </c>
      <c r="H417">
        <v>162.72</v>
      </c>
      <c r="I417">
        <v>79895.520000000004</v>
      </c>
      <c r="J417">
        <v>52852.28</v>
      </c>
      <c r="K417">
        <v>27043.24</v>
      </c>
      <c r="L417" s="2">
        <v>45323</v>
      </c>
    </row>
    <row r="418" spans="1:12" x14ac:dyDescent="0.3">
      <c r="A418" t="s">
        <v>13</v>
      </c>
      <c r="B418" t="s">
        <v>27</v>
      </c>
      <c r="C418" t="s">
        <v>34</v>
      </c>
      <c r="D418" t="s">
        <v>43</v>
      </c>
      <c r="E418" t="s">
        <v>51</v>
      </c>
      <c r="F418" t="s">
        <v>55</v>
      </c>
      <c r="G418">
        <v>237</v>
      </c>
      <c r="H418">
        <v>186.29</v>
      </c>
      <c r="I418">
        <v>44150.73</v>
      </c>
      <c r="J418">
        <v>34932.980000000003</v>
      </c>
      <c r="K418">
        <v>9217.75</v>
      </c>
      <c r="L418" s="2">
        <v>45323</v>
      </c>
    </row>
    <row r="419" spans="1:12" x14ac:dyDescent="0.3">
      <c r="A419" t="s">
        <v>16</v>
      </c>
      <c r="B419" t="s">
        <v>28</v>
      </c>
      <c r="C419" t="s">
        <v>35</v>
      </c>
      <c r="D419" t="s">
        <v>46</v>
      </c>
      <c r="E419" t="s">
        <v>52</v>
      </c>
      <c r="F419" t="s">
        <v>53</v>
      </c>
      <c r="G419">
        <v>63</v>
      </c>
      <c r="H419">
        <v>159.6</v>
      </c>
      <c r="I419">
        <v>10054.799999999999</v>
      </c>
      <c r="J419">
        <v>6705.53</v>
      </c>
      <c r="K419">
        <v>3349.27</v>
      </c>
      <c r="L419" s="2">
        <v>45323</v>
      </c>
    </row>
    <row r="420" spans="1:12" x14ac:dyDescent="0.3">
      <c r="A420" t="s">
        <v>14</v>
      </c>
      <c r="B420" t="s">
        <v>19</v>
      </c>
      <c r="C420" t="s">
        <v>34</v>
      </c>
      <c r="D420" t="s">
        <v>45</v>
      </c>
      <c r="E420" t="s">
        <v>48</v>
      </c>
      <c r="F420" t="s">
        <v>55</v>
      </c>
      <c r="G420">
        <v>254</v>
      </c>
      <c r="H420">
        <v>175.89</v>
      </c>
      <c r="I420">
        <v>44676.06</v>
      </c>
      <c r="J420">
        <v>32531.63</v>
      </c>
      <c r="K420">
        <v>12144.43</v>
      </c>
      <c r="L420" s="2">
        <v>45352</v>
      </c>
    </row>
    <row r="421" spans="1:12" x14ac:dyDescent="0.3">
      <c r="A421" t="s">
        <v>14</v>
      </c>
      <c r="B421" t="s">
        <v>19</v>
      </c>
      <c r="C421" t="s">
        <v>35</v>
      </c>
      <c r="D421" t="s">
        <v>42</v>
      </c>
      <c r="E421" t="s">
        <v>52</v>
      </c>
      <c r="F421" t="s">
        <v>54</v>
      </c>
      <c r="G421">
        <v>274</v>
      </c>
      <c r="H421">
        <v>182.74</v>
      </c>
      <c r="I421">
        <v>50070.76</v>
      </c>
      <c r="J421">
        <v>35945.5</v>
      </c>
      <c r="K421">
        <v>14125.26</v>
      </c>
      <c r="L421" s="2">
        <v>45352</v>
      </c>
    </row>
    <row r="422" spans="1:12" x14ac:dyDescent="0.3">
      <c r="A422" t="s">
        <v>15</v>
      </c>
      <c r="B422" t="s">
        <v>33</v>
      </c>
      <c r="C422" t="s">
        <v>35</v>
      </c>
      <c r="D422" t="s">
        <v>39</v>
      </c>
      <c r="E422" t="s">
        <v>48</v>
      </c>
      <c r="F422" t="s">
        <v>53</v>
      </c>
      <c r="G422">
        <v>151</v>
      </c>
      <c r="H422">
        <v>272.05</v>
      </c>
      <c r="I422">
        <v>41079.550000000003</v>
      </c>
      <c r="J422">
        <v>27038.18</v>
      </c>
      <c r="K422">
        <v>14041.37</v>
      </c>
      <c r="L422" s="2">
        <v>45352</v>
      </c>
    </row>
    <row r="423" spans="1:12" x14ac:dyDescent="0.3">
      <c r="A423" t="s">
        <v>15</v>
      </c>
      <c r="B423" t="s">
        <v>33</v>
      </c>
      <c r="C423" t="s">
        <v>35</v>
      </c>
      <c r="D423" t="s">
        <v>44</v>
      </c>
      <c r="E423" t="s">
        <v>48</v>
      </c>
      <c r="F423" t="s">
        <v>53</v>
      </c>
      <c r="G423">
        <v>69</v>
      </c>
      <c r="H423">
        <v>101.16</v>
      </c>
      <c r="I423">
        <v>6980.04</v>
      </c>
      <c r="J423">
        <v>5010.22</v>
      </c>
      <c r="K423">
        <v>1969.82</v>
      </c>
      <c r="L423" s="2">
        <v>45352</v>
      </c>
    </row>
    <row r="424" spans="1:12" x14ac:dyDescent="0.3">
      <c r="A424" t="s">
        <v>13</v>
      </c>
      <c r="B424" t="s">
        <v>17</v>
      </c>
      <c r="C424" t="s">
        <v>34</v>
      </c>
      <c r="D424" t="s">
        <v>43</v>
      </c>
      <c r="E424" t="s">
        <v>50</v>
      </c>
      <c r="F424" t="s">
        <v>54</v>
      </c>
      <c r="G424">
        <v>14</v>
      </c>
      <c r="H424">
        <v>17.649999999999999</v>
      </c>
      <c r="I424">
        <v>247.1</v>
      </c>
      <c r="J424">
        <v>171.52</v>
      </c>
      <c r="K424">
        <v>75.58</v>
      </c>
      <c r="L424" s="2">
        <v>45352</v>
      </c>
    </row>
    <row r="425" spans="1:12" x14ac:dyDescent="0.3">
      <c r="A425" t="s">
        <v>14</v>
      </c>
      <c r="B425" t="s">
        <v>23</v>
      </c>
      <c r="C425" t="s">
        <v>35</v>
      </c>
      <c r="D425" t="s">
        <v>41</v>
      </c>
      <c r="E425" t="s">
        <v>52</v>
      </c>
      <c r="F425" t="s">
        <v>54</v>
      </c>
      <c r="G425">
        <v>477</v>
      </c>
      <c r="H425">
        <v>147.72</v>
      </c>
      <c r="I425">
        <v>70462.44</v>
      </c>
      <c r="J425">
        <v>49015.9</v>
      </c>
      <c r="K425">
        <v>21446.54</v>
      </c>
      <c r="L425" s="2">
        <v>45352</v>
      </c>
    </row>
    <row r="426" spans="1:12" x14ac:dyDescent="0.3">
      <c r="A426" t="s">
        <v>14</v>
      </c>
      <c r="B426" t="s">
        <v>18</v>
      </c>
      <c r="C426" t="s">
        <v>35</v>
      </c>
      <c r="D426" t="s">
        <v>40</v>
      </c>
      <c r="E426" t="s">
        <v>50</v>
      </c>
      <c r="F426" t="s">
        <v>54</v>
      </c>
      <c r="G426">
        <v>425</v>
      </c>
      <c r="H426">
        <v>282.95999999999998</v>
      </c>
      <c r="I426">
        <v>120258</v>
      </c>
      <c r="J426">
        <v>74331.960000000006</v>
      </c>
      <c r="K426">
        <v>45926.04</v>
      </c>
      <c r="L426" s="2">
        <v>45352</v>
      </c>
    </row>
    <row r="427" spans="1:12" x14ac:dyDescent="0.3">
      <c r="A427" t="s">
        <v>14</v>
      </c>
      <c r="B427" t="s">
        <v>19</v>
      </c>
      <c r="C427" t="s">
        <v>35</v>
      </c>
      <c r="D427" t="s">
        <v>47</v>
      </c>
      <c r="E427" t="s">
        <v>52</v>
      </c>
      <c r="F427" t="s">
        <v>54</v>
      </c>
      <c r="G427">
        <v>197</v>
      </c>
      <c r="H427">
        <v>134.72999999999999</v>
      </c>
      <c r="I427">
        <v>26541.81</v>
      </c>
      <c r="J427">
        <v>21921.93</v>
      </c>
      <c r="K427">
        <v>4619.88</v>
      </c>
      <c r="L427" s="2">
        <v>45352</v>
      </c>
    </row>
    <row r="428" spans="1:12" x14ac:dyDescent="0.3">
      <c r="A428" t="s">
        <v>15</v>
      </c>
      <c r="B428" t="s">
        <v>21</v>
      </c>
      <c r="C428" t="s">
        <v>34</v>
      </c>
      <c r="D428" t="s">
        <v>45</v>
      </c>
      <c r="E428" t="s">
        <v>51</v>
      </c>
      <c r="F428" t="s">
        <v>53</v>
      </c>
      <c r="G428">
        <v>136</v>
      </c>
      <c r="H428">
        <v>191.59</v>
      </c>
      <c r="I428">
        <v>26056.240000000002</v>
      </c>
      <c r="J428">
        <v>19094.77</v>
      </c>
      <c r="K428">
        <v>6961.47</v>
      </c>
      <c r="L428" s="2">
        <v>45352</v>
      </c>
    </row>
    <row r="429" spans="1:12" x14ac:dyDescent="0.3">
      <c r="A429" t="s">
        <v>16</v>
      </c>
      <c r="B429" t="s">
        <v>22</v>
      </c>
      <c r="C429" t="s">
        <v>35</v>
      </c>
      <c r="D429" t="s">
        <v>44</v>
      </c>
      <c r="E429" t="s">
        <v>50</v>
      </c>
      <c r="F429" t="s">
        <v>53</v>
      </c>
      <c r="G429">
        <v>201</v>
      </c>
      <c r="H429">
        <v>206.06</v>
      </c>
      <c r="I429">
        <v>41418.06</v>
      </c>
      <c r="J429">
        <v>29468.52</v>
      </c>
      <c r="K429">
        <v>11949.54</v>
      </c>
      <c r="L429" s="2">
        <v>45352</v>
      </c>
    </row>
    <row r="430" spans="1:12" x14ac:dyDescent="0.3">
      <c r="A430" t="s">
        <v>16</v>
      </c>
      <c r="B430" t="s">
        <v>24</v>
      </c>
      <c r="C430" t="s">
        <v>34</v>
      </c>
      <c r="D430" t="s">
        <v>36</v>
      </c>
      <c r="E430" t="s">
        <v>52</v>
      </c>
      <c r="F430" t="s">
        <v>54</v>
      </c>
      <c r="G430">
        <v>408</v>
      </c>
      <c r="H430">
        <v>128.87</v>
      </c>
      <c r="I430">
        <v>52578.96</v>
      </c>
      <c r="J430">
        <v>42586.36</v>
      </c>
      <c r="K430">
        <v>9992.6</v>
      </c>
      <c r="L430" s="2">
        <v>45352</v>
      </c>
    </row>
    <row r="431" spans="1:12" x14ac:dyDescent="0.3">
      <c r="A431" t="s">
        <v>15</v>
      </c>
      <c r="B431" t="s">
        <v>29</v>
      </c>
      <c r="C431" t="s">
        <v>34</v>
      </c>
      <c r="D431" t="s">
        <v>36</v>
      </c>
      <c r="E431" t="s">
        <v>48</v>
      </c>
      <c r="F431" t="s">
        <v>55</v>
      </c>
      <c r="G431">
        <v>204</v>
      </c>
      <c r="H431">
        <v>215.94</v>
      </c>
      <c r="I431">
        <v>44051.76</v>
      </c>
      <c r="J431">
        <v>36754.35</v>
      </c>
      <c r="K431">
        <v>7297.41</v>
      </c>
      <c r="L431" s="2">
        <v>45352</v>
      </c>
    </row>
    <row r="432" spans="1:12" x14ac:dyDescent="0.3">
      <c r="A432" t="s">
        <v>13</v>
      </c>
      <c r="B432" t="s">
        <v>26</v>
      </c>
      <c r="C432" t="s">
        <v>34</v>
      </c>
      <c r="D432" t="s">
        <v>45</v>
      </c>
      <c r="E432" t="s">
        <v>50</v>
      </c>
      <c r="F432" t="s">
        <v>54</v>
      </c>
      <c r="G432">
        <v>334</v>
      </c>
      <c r="H432">
        <v>158.03</v>
      </c>
      <c r="I432">
        <v>52782.02</v>
      </c>
      <c r="J432">
        <v>39937.42</v>
      </c>
      <c r="K432">
        <v>12844.6</v>
      </c>
      <c r="L432" s="2">
        <v>45352</v>
      </c>
    </row>
    <row r="433" spans="1:12" x14ac:dyDescent="0.3">
      <c r="A433" t="s">
        <v>16</v>
      </c>
      <c r="B433" t="s">
        <v>25</v>
      </c>
      <c r="C433" t="s">
        <v>34</v>
      </c>
      <c r="D433" t="s">
        <v>38</v>
      </c>
      <c r="E433" t="s">
        <v>51</v>
      </c>
      <c r="F433" t="s">
        <v>54</v>
      </c>
      <c r="G433">
        <v>21</v>
      </c>
      <c r="H433">
        <v>224.52</v>
      </c>
      <c r="I433">
        <v>4714.92</v>
      </c>
      <c r="J433">
        <v>3205.75</v>
      </c>
      <c r="K433">
        <v>1509.17</v>
      </c>
      <c r="L433" s="2">
        <v>45352</v>
      </c>
    </row>
    <row r="434" spans="1:12" x14ac:dyDescent="0.3">
      <c r="A434" t="s">
        <v>13</v>
      </c>
      <c r="B434" t="s">
        <v>17</v>
      </c>
      <c r="C434" t="s">
        <v>35</v>
      </c>
      <c r="D434" t="s">
        <v>40</v>
      </c>
      <c r="E434" t="s">
        <v>52</v>
      </c>
      <c r="F434" t="s">
        <v>55</v>
      </c>
      <c r="G434">
        <v>224</v>
      </c>
      <c r="H434">
        <v>67.709999999999994</v>
      </c>
      <c r="I434">
        <v>15167.04</v>
      </c>
      <c r="J434">
        <v>10686.45</v>
      </c>
      <c r="K434">
        <v>4480.59</v>
      </c>
      <c r="L434" s="2">
        <v>45352</v>
      </c>
    </row>
    <row r="435" spans="1:12" x14ac:dyDescent="0.3">
      <c r="A435" t="s">
        <v>15</v>
      </c>
      <c r="B435" t="s">
        <v>29</v>
      </c>
      <c r="C435" t="s">
        <v>34</v>
      </c>
      <c r="D435" t="s">
        <v>43</v>
      </c>
      <c r="E435" t="s">
        <v>51</v>
      </c>
      <c r="F435" t="s">
        <v>53</v>
      </c>
      <c r="G435">
        <v>421</v>
      </c>
      <c r="H435">
        <v>196.42</v>
      </c>
      <c r="I435">
        <v>82692.820000000007</v>
      </c>
      <c r="J435">
        <v>66358.100000000006</v>
      </c>
      <c r="K435">
        <v>16334.72</v>
      </c>
      <c r="L435" s="2">
        <v>45352</v>
      </c>
    </row>
    <row r="436" spans="1:12" x14ac:dyDescent="0.3">
      <c r="A436" t="s">
        <v>16</v>
      </c>
      <c r="B436" t="s">
        <v>22</v>
      </c>
      <c r="C436" t="s">
        <v>35</v>
      </c>
      <c r="D436" t="s">
        <v>40</v>
      </c>
      <c r="E436" t="s">
        <v>48</v>
      </c>
      <c r="F436" t="s">
        <v>55</v>
      </c>
      <c r="G436">
        <v>337</v>
      </c>
      <c r="H436">
        <v>240.7</v>
      </c>
      <c r="I436">
        <v>81115.899999999994</v>
      </c>
      <c r="J436">
        <v>67299.38</v>
      </c>
      <c r="K436">
        <v>13816.52</v>
      </c>
      <c r="L436" s="2">
        <v>45352</v>
      </c>
    </row>
    <row r="437" spans="1:12" x14ac:dyDescent="0.3">
      <c r="A437" t="s">
        <v>15</v>
      </c>
      <c r="B437" t="s">
        <v>33</v>
      </c>
      <c r="C437" t="s">
        <v>35</v>
      </c>
      <c r="D437" t="s">
        <v>41</v>
      </c>
      <c r="E437" t="s">
        <v>50</v>
      </c>
      <c r="F437" t="s">
        <v>53</v>
      </c>
      <c r="G437">
        <v>436</v>
      </c>
      <c r="H437">
        <v>176.63</v>
      </c>
      <c r="I437">
        <v>77010.679999999993</v>
      </c>
      <c r="J437">
        <v>57114.5</v>
      </c>
      <c r="K437">
        <v>19896.18</v>
      </c>
      <c r="L437" s="2">
        <v>45352</v>
      </c>
    </row>
    <row r="438" spans="1:12" x14ac:dyDescent="0.3">
      <c r="A438" t="s">
        <v>13</v>
      </c>
      <c r="B438" t="s">
        <v>17</v>
      </c>
      <c r="C438" t="s">
        <v>35</v>
      </c>
      <c r="D438" t="s">
        <v>41</v>
      </c>
      <c r="E438" t="s">
        <v>48</v>
      </c>
      <c r="F438" t="s">
        <v>53</v>
      </c>
      <c r="G438">
        <v>463</v>
      </c>
      <c r="H438">
        <v>258.16000000000003</v>
      </c>
      <c r="I438">
        <v>119528.08</v>
      </c>
      <c r="J438">
        <v>78505.429999999993</v>
      </c>
      <c r="K438">
        <v>41022.65</v>
      </c>
      <c r="L438" s="2">
        <v>45352</v>
      </c>
    </row>
    <row r="439" spans="1:12" x14ac:dyDescent="0.3">
      <c r="A439" t="s">
        <v>15</v>
      </c>
      <c r="B439" t="s">
        <v>29</v>
      </c>
      <c r="C439" t="s">
        <v>34</v>
      </c>
      <c r="D439" t="s">
        <v>38</v>
      </c>
      <c r="E439" t="s">
        <v>50</v>
      </c>
      <c r="F439" t="s">
        <v>53</v>
      </c>
      <c r="G439">
        <v>330</v>
      </c>
      <c r="H439">
        <v>50.26</v>
      </c>
      <c r="I439">
        <v>16585.8</v>
      </c>
      <c r="J439">
        <v>9962.7199999999993</v>
      </c>
      <c r="K439">
        <v>6623.08</v>
      </c>
      <c r="L439" s="2">
        <v>45352</v>
      </c>
    </row>
    <row r="440" spans="1:12" x14ac:dyDescent="0.3">
      <c r="A440" t="s">
        <v>13</v>
      </c>
      <c r="B440" t="s">
        <v>17</v>
      </c>
      <c r="C440" t="s">
        <v>35</v>
      </c>
      <c r="D440" t="s">
        <v>40</v>
      </c>
      <c r="E440" t="s">
        <v>52</v>
      </c>
      <c r="F440" t="s">
        <v>55</v>
      </c>
      <c r="G440">
        <v>161</v>
      </c>
      <c r="H440">
        <v>222.58</v>
      </c>
      <c r="I440">
        <v>35835.379999999997</v>
      </c>
      <c r="J440">
        <v>26236.68</v>
      </c>
      <c r="K440">
        <v>9598.7000000000007</v>
      </c>
      <c r="L440" s="2">
        <v>45352</v>
      </c>
    </row>
    <row r="441" spans="1:12" x14ac:dyDescent="0.3">
      <c r="A441" t="s">
        <v>15</v>
      </c>
      <c r="B441" t="s">
        <v>21</v>
      </c>
      <c r="C441" t="s">
        <v>35</v>
      </c>
      <c r="D441" t="s">
        <v>41</v>
      </c>
      <c r="E441" t="s">
        <v>52</v>
      </c>
      <c r="F441" t="s">
        <v>54</v>
      </c>
      <c r="G441">
        <v>87</v>
      </c>
      <c r="H441">
        <v>168.51</v>
      </c>
      <c r="I441">
        <v>14660.37</v>
      </c>
      <c r="J441">
        <v>10382.530000000001</v>
      </c>
      <c r="K441">
        <v>4277.84</v>
      </c>
      <c r="L441" s="2">
        <v>45352</v>
      </c>
    </row>
    <row r="442" spans="1:12" x14ac:dyDescent="0.3">
      <c r="A442" t="s">
        <v>14</v>
      </c>
      <c r="B442" t="s">
        <v>19</v>
      </c>
      <c r="C442" t="s">
        <v>34</v>
      </c>
      <c r="D442" t="s">
        <v>45</v>
      </c>
      <c r="E442" t="s">
        <v>50</v>
      </c>
      <c r="F442" t="s">
        <v>53</v>
      </c>
      <c r="G442">
        <v>209</v>
      </c>
      <c r="H442">
        <v>132.84</v>
      </c>
      <c r="I442">
        <v>27763.56</v>
      </c>
      <c r="J442">
        <v>18656.62</v>
      </c>
      <c r="K442">
        <v>9106.94</v>
      </c>
      <c r="L442" s="2">
        <v>45352</v>
      </c>
    </row>
    <row r="443" spans="1:12" x14ac:dyDescent="0.3">
      <c r="A443" t="s">
        <v>15</v>
      </c>
      <c r="B443" t="s">
        <v>33</v>
      </c>
      <c r="C443" t="s">
        <v>34</v>
      </c>
      <c r="D443" t="s">
        <v>36</v>
      </c>
      <c r="E443" t="s">
        <v>48</v>
      </c>
      <c r="F443" t="s">
        <v>53</v>
      </c>
      <c r="G443">
        <v>470</v>
      </c>
      <c r="H443">
        <v>87.44</v>
      </c>
      <c r="I443">
        <v>41096.800000000003</v>
      </c>
      <c r="J443">
        <v>33685.300000000003</v>
      </c>
      <c r="K443">
        <v>7411.5</v>
      </c>
      <c r="L443" s="2">
        <v>45352</v>
      </c>
    </row>
    <row r="444" spans="1:12" x14ac:dyDescent="0.3">
      <c r="A444" t="s">
        <v>15</v>
      </c>
      <c r="B444" t="s">
        <v>31</v>
      </c>
      <c r="C444" t="s">
        <v>34</v>
      </c>
      <c r="D444" t="s">
        <v>43</v>
      </c>
      <c r="E444" t="s">
        <v>49</v>
      </c>
      <c r="F444" t="s">
        <v>53</v>
      </c>
      <c r="G444">
        <v>372</v>
      </c>
      <c r="H444">
        <v>122.52</v>
      </c>
      <c r="I444">
        <v>45577.440000000002</v>
      </c>
      <c r="J444">
        <v>29169.85</v>
      </c>
      <c r="K444">
        <v>16407.59</v>
      </c>
      <c r="L444" s="2">
        <v>45383</v>
      </c>
    </row>
    <row r="445" spans="1:12" x14ac:dyDescent="0.3">
      <c r="A445" t="s">
        <v>14</v>
      </c>
      <c r="B445" t="s">
        <v>19</v>
      </c>
      <c r="C445" t="s">
        <v>35</v>
      </c>
      <c r="D445" t="s">
        <v>46</v>
      </c>
      <c r="E445" t="s">
        <v>50</v>
      </c>
      <c r="F445" t="s">
        <v>53</v>
      </c>
      <c r="G445">
        <v>43</v>
      </c>
      <c r="H445">
        <v>113.87</v>
      </c>
      <c r="I445">
        <v>4896.41</v>
      </c>
      <c r="J445">
        <v>3076.85</v>
      </c>
      <c r="K445">
        <v>1819.56</v>
      </c>
      <c r="L445" s="2">
        <v>45383</v>
      </c>
    </row>
    <row r="446" spans="1:12" x14ac:dyDescent="0.3">
      <c r="A446" t="s">
        <v>13</v>
      </c>
      <c r="B446" t="s">
        <v>17</v>
      </c>
      <c r="C446" t="s">
        <v>34</v>
      </c>
      <c r="D446" t="s">
        <v>43</v>
      </c>
      <c r="E446" t="s">
        <v>51</v>
      </c>
      <c r="F446" t="s">
        <v>54</v>
      </c>
      <c r="G446">
        <v>397</v>
      </c>
      <c r="H446">
        <v>110.24</v>
      </c>
      <c r="I446">
        <v>43765.279999999999</v>
      </c>
      <c r="J446">
        <v>36071.22</v>
      </c>
      <c r="K446">
        <v>7694.06</v>
      </c>
      <c r="L446" s="2">
        <v>45383</v>
      </c>
    </row>
    <row r="447" spans="1:12" x14ac:dyDescent="0.3">
      <c r="A447" t="s">
        <v>15</v>
      </c>
      <c r="B447" t="s">
        <v>31</v>
      </c>
      <c r="C447" t="s">
        <v>34</v>
      </c>
      <c r="D447" t="s">
        <v>36</v>
      </c>
      <c r="E447" t="s">
        <v>50</v>
      </c>
      <c r="F447" t="s">
        <v>54</v>
      </c>
      <c r="G447">
        <v>434</v>
      </c>
      <c r="H447">
        <v>188.98</v>
      </c>
      <c r="I447">
        <v>82017.320000000007</v>
      </c>
      <c r="J447">
        <v>58281.71</v>
      </c>
      <c r="K447">
        <v>23735.61</v>
      </c>
      <c r="L447" s="2">
        <v>45383</v>
      </c>
    </row>
    <row r="448" spans="1:12" x14ac:dyDescent="0.3">
      <c r="A448" t="s">
        <v>15</v>
      </c>
      <c r="B448" t="s">
        <v>29</v>
      </c>
      <c r="C448" t="s">
        <v>34</v>
      </c>
      <c r="D448" t="s">
        <v>36</v>
      </c>
      <c r="E448" t="s">
        <v>50</v>
      </c>
      <c r="F448" t="s">
        <v>54</v>
      </c>
      <c r="G448">
        <v>492</v>
      </c>
      <c r="H448">
        <v>286.22000000000003</v>
      </c>
      <c r="I448">
        <v>140820.24</v>
      </c>
      <c r="J448">
        <v>92474.1</v>
      </c>
      <c r="K448">
        <v>48346.14</v>
      </c>
      <c r="L448" s="2">
        <v>45383</v>
      </c>
    </row>
    <row r="449" spans="1:12" x14ac:dyDescent="0.3">
      <c r="A449" t="s">
        <v>16</v>
      </c>
      <c r="B449" t="s">
        <v>25</v>
      </c>
      <c r="C449" t="s">
        <v>35</v>
      </c>
      <c r="D449" t="s">
        <v>42</v>
      </c>
      <c r="E449" t="s">
        <v>52</v>
      </c>
      <c r="F449" t="s">
        <v>54</v>
      </c>
      <c r="G449">
        <v>320</v>
      </c>
      <c r="H449">
        <v>161.18</v>
      </c>
      <c r="I449">
        <v>51577.599999999999</v>
      </c>
      <c r="J449">
        <v>32064.57</v>
      </c>
      <c r="K449">
        <v>19513.03</v>
      </c>
      <c r="L449" s="2">
        <v>45383</v>
      </c>
    </row>
    <row r="450" spans="1:12" x14ac:dyDescent="0.3">
      <c r="A450" t="s">
        <v>14</v>
      </c>
      <c r="B450" t="s">
        <v>18</v>
      </c>
      <c r="C450" t="s">
        <v>35</v>
      </c>
      <c r="D450" t="s">
        <v>41</v>
      </c>
      <c r="E450" t="s">
        <v>49</v>
      </c>
      <c r="F450" t="s">
        <v>55</v>
      </c>
      <c r="G450">
        <v>372</v>
      </c>
      <c r="H450">
        <v>54.47</v>
      </c>
      <c r="I450">
        <v>20262.84</v>
      </c>
      <c r="J450">
        <v>15127.37</v>
      </c>
      <c r="K450">
        <v>5135.47</v>
      </c>
      <c r="L450" s="2">
        <v>45383</v>
      </c>
    </row>
    <row r="451" spans="1:12" x14ac:dyDescent="0.3">
      <c r="A451" t="s">
        <v>14</v>
      </c>
      <c r="B451" t="s">
        <v>23</v>
      </c>
      <c r="C451" t="s">
        <v>34</v>
      </c>
      <c r="D451" t="s">
        <v>43</v>
      </c>
      <c r="E451" t="s">
        <v>48</v>
      </c>
      <c r="F451" t="s">
        <v>53</v>
      </c>
      <c r="G451">
        <v>319</v>
      </c>
      <c r="H451">
        <v>224.03</v>
      </c>
      <c r="I451">
        <v>71465.570000000007</v>
      </c>
      <c r="J451">
        <v>44358.66</v>
      </c>
      <c r="K451">
        <v>27106.91</v>
      </c>
      <c r="L451" s="2">
        <v>45383</v>
      </c>
    </row>
    <row r="452" spans="1:12" x14ac:dyDescent="0.3">
      <c r="A452" t="s">
        <v>14</v>
      </c>
      <c r="B452" t="s">
        <v>18</v>
      </c>
      <c r="C452" t="s">
        <v>34</v>
      </c>
      <c r="D452" t="s">
        <v>43</v>
      </c>
      <c r="E452" t="s">
        <v>48</v>
      </c>
      <c r="F452" t="s">
        <v>54</v>
      </c>
      <c r="G452">
        <v>102</v>
      </c>
      <c r="H452">
        <v>131.34</v>
      </c>
      <c r="I452">
        <v>13396.68</v>
      </c>
      <c r="J452">
        <v>8719.83</v>
      </c>
      <c r="K452">
        <v>4676.8500000000004</v>
      </c>
      <c r="L452" s="2">
        <v>45383</v>
      </c>
    </row>
    <row r="453" spans="1:12" x14ac:dyDescent="0.3">
      <c r="A453" t="s">
        <v>14</v>
      </c>
      <c r="B453" t="s">
        <v>32</v>
      </c>
      <c r="C453" t="s">
        <v>34</v>
      </c>
      <c r="D453" t="s">
        <v>36</v>
      </c>
      <c r="E453" t="s">
        <v>49</v>
      </c>
      <c r="F453" t="s">
        <v>55</v>
      </c>
      <c r="G453">
        <v>154</v>
      </c>
      <c r="H453">
        <v>79.91</v>
      </c>
      <c r="I453">
        <v>12306.14</v>
      </c>
      <c r="J453">
        <v>8014.51</v>
      </c>
      <c r="K453">
        <v>4291.63</v>
      </c>
      <c r="L453" s="2">
        <v>45383</v>
      </c>
    </row>
    <row r="454" spans="1:12" x14ac:dyDescent="0.3">
      <c r="A454" t="s">
        <v>16</v>
      </c>
      <c r="B454" t="s">
        <v>24</v>
      </c>
      <c r="C454" t="s">
        <v>34</v>
      </c>
      <c r="D454" t="s">
        <v>45</v>
      </c>
      <c r="E454" t="s">
        <v>49</v>
      </c>
      <c r="F454" t="s">
        <v>53</v>
      </c>
      <c r="G454">
        <v>460</v>
      </c>
      <c r="H454">
        <v>243.01</v>
      </c>
      <c r="I454">
        <v>111784.6</v>
      </c>
      <c r="J454">
        <v>93039.11</v>
      </c>
      <c r="K454">
        <v>18745.490000000002</v>
      </c>
      <c r="L454" s="2">
        <v>45383</v>
      </c>
    </row>
    <row r="455" spans="1:12" x14ac:dyDescent="0.3">
      <c r="A455" t="s">
        <v>16</v>
      </c>
      <c r="B455" t="s">
        <v>24</v>
      </c>
      <c r="C455" t="s">
        <v>35</v>
      </c>
      <c r="D455" t="s">
        <v>44</v>
      </c>
      <c r="E455" t="s">
        <v>52</v>
      </c>
      <c r="F455" t="s">
        <v>55</v>
      </c>
      <c r="G455">
        <v>209</v>
      </c>
      <c r="H455">
        <v>198.75</v>
      </c>
      <c r="I455">
        <v>41538.75</v>
      </c>
      <c r="J455">
        <v>30457.85</v>
      </c>
      <c r="K455">
        <v>11080.9</v>
      </c>
      <c r="L455" s="2">
        <v>45383</v>
      </c>
    </row>
    <row r="456" spans="1:12" x14ac:dyDescent="0.3">
      <c r="A456" t="s">
        <v>15</v>
      </c>
      <c r="B456" t="s">
        <v>31</v>
      </c>
      <c r="C456" t="s">
        <v>34</v>
      </c>
      <c r="D456" t="s">
        <v>37</v>
      </c>
      <c r="E456" t="s">
        <v>50</v>
      </c>
      <c r="F456" t="s">
        <v>55</v>
      </c>
      <c r="G456">
        <v>63</v>
      </c>
      <c r="H456">
        <v>115.03</v>
      </c>
      <c r="I456">
        <v>7246.89</v>
      </c>
      <c r="J456">
        <v>5658.24</v>
      </c>
      <c r="K456">
        <v>1588.65</v>
      </c>
      <c r="L456" s="2">
        <v>45383</v>
      </c>
    </row>
    <row r="457" spans="1:12" x14ac:dyDescent="0.3">
      <c r="A457" t="s">
        <v>14</v>
      </c>
      <c r="B457" t="s">
        <v>19</v>
      </c>
      <c r="C457" t="s">
        <v>35</v>
      </c>
      <c r="D457" t="s">
        <v>46</v>
      </c>
      <c r="E457" t="s">
        <v>52</v>
      </c>
      <c r="F457" t="s">
        <v>54</v>
      </c>
      <c r="G457">
        <v>393</v>
      </c>
      <c r="H457">
        <v>246.38</v>
      </c>
      <c r="I457">
        <v>96827.34</v>
      </c>
      <c r="J457">
        <v>72983.08</v>
      </c>
      <c r="K457">
        <v>23844.26</v>
      </c>
      <c r="L457" s="2">
        <v>45383</v>
      </c>
    </row>
    <row r="458" spans="1:12" x14ac:dyDescent="0.3">
      <c r="A458" t="s">
        <v>14</v>
      </c>
      <c r="B458" t="s">
        <v>18</v>
      </c>
      <c r="C458" t="s">
        <v>34</v>
      </c>
      <c r="D458" t="s">
        <v>37</v>
      </c>
      <c r="E458" t="s">
        <v>51</v>
      </c>
      <c r="F458" t="s">
        <v>53</v>
      </c>
      <c r="G458">
        <v>231</v>
      </c>
      <c r="H458">
        <v>172.3</v>
      </c>
      <c r="I458">
        <v>39801.300000000003</v>
      </c>
      <c r="J458">
        <v>25425.47</v>
      </c>
      <c r="K458">
        <v>14375.83</v>
      </c>
      <c r="L458" s="2">
        <v>45383</v>
      </c>
    </row>
    <row r="459" spans="1:12" x14ac:dyDescent="0.3">
      <c r="A459" t="s">
        <v>13</v>
      </c>
      <c r="B459" t="s">
        <v>30</v>
      </c>
      <c r="C459" t="s">
        <v>35</v>
      </c>
      <c r="D459" t="s">
        <v>46</v>
      </c>
      <c r="E459" t="s">
        <v>49</v>
      </c>
      <c r="F459" t="s">
        <v>53</v>
      </c>
      <c r="G459">
        <v>328</v>
      </c>
      <c r="H459">
        <v>123.72</v>
      </c>
      <c r="I459">
        <v>40580.160000000003</v>
      </c>
      <c r="J459">
        <v>26169.1</v>
      </c>
      <c r="K459">
        <v>14411.06</v>
      </c>
      <c r="L459" s="2">
        <v>45383</v>
      </c>
    </row>
    <row r="460" spans="1:12" x14ac:dyDescent="0.3">
      <c r="A460" t="s">
        <v>14</v>
      </c>
      <c r="B460" t="s">
        <v>23</v>
      </c>
      <c r="C460" t="s">
        <v>34</v>
      </c>
      <c r="D460" t="s">
        <v>36</v>
      </c>
      <c r="E460" t="s">
        <v>51</v>
      </c>
      <c r="F460" t="s">
        <v>53</v>
      </c>
      <c r="G460">
        <v>382</v>
      </c>
      <c r="H460">
        <v>92.61</v>
      </c>
      <c r="I460">
        <v>35377.019999999997</v>
      </c>
      <c r="J460">
        <v>23943.96</v>
      </c>
      <c r="K460">
        <v>11433.06</v>
      </c>
      <c r="L460" s="2">
        <v>45383</v>
      </c>
    </row>
    <row r="461" spans="1:12" x14ac:dyDescent="0.3">
      <c r="A461" t="s">
        <v>14</v>
      </c>
      <c r="B461" t="s">
        <v>19</v>
      </c>
      <c r="C461" t="s">
        <v>35</v>
      </c>
      <c r="D461" t="s">
        <v>42</v>
      </c>
      <c r="E461" t="s">
        <v>51</v>
      </c>
      <c r="F461" t="s">
        <v>54</v>
      </c>
      <c r="G461">
        <v>129</v>
      </c>
      <c r="H461">
        <v>243.64</v>
      </c>
      <c r="I461">
        <v>31429.56</v>
      </c>
      <c r="J461">
        <v>23457.09</v>
      </c>
      <c r="K461">
        <v>7972.47</v>
      </c>
      <c r="L461" s="2">
        <v>45383</v>
      </c>
    </row>
    <row r="462" spans="1:12" x14ac:dyDescent="0.3">
      <c r="A462" t="s">
        <v>13</v>
      </c>
      <c r="B462" t="s">
        <v>30</v>
      </c>
      <c r="C462" t="s">
        <v>35</v>
      </c>
      <c r="D462" t="s">
        <v>46</v>
      </c>
      <c r="E462" t="s">
        <v>51</v>
      </c>
      <c r="F462" t="s">
        <v>53</v>
      </c>
      <c r="G462">
        <v>388</v>
      </c>
      <c r="H462">
        <v>124.91</v>
      </c>
      <c r="I462">
        <v>48465.08</v>
      </c>
      <c r="J462">
        <v>38266.07</v>
      </c>
      <c r="K462">
        <v>10199.01</v>
      </c>
      <c r="L462" s="2">
        <v>45383</v>
      </c>
    </row>
    <row r="463" spans="1:12" x14ac:dyDescent="0.3">
      <c r="A463" t="s">
        <v>16</v>
      </c>
      <c r="B463" t="s">
        <v>24</v>
      </c>
      <c r="C463" t="s">
        <v>34</v>
      </c>
      <c r="D463" t="s">
        <v>36</v>
      </c>
      <c r="E463" t="s">
        <v>49</v>
      </c>
      <c r="F463" t="s">
        <v>54</v>
      </c>
      <c r="G463">
        <v>121</v>
      </c>
      <c r="H463">
        <v>72.67</v>
      </c>
      <c r="I463">
        <v>8793.07</v>
      </c>
      <c r="J463">
        <v>5490.31</v>
      </c>
      <c r="K463">
        <v>3302.76</v>
      </c>
      <c r="L463" s="2">
        <v>45383</v>
      </c>
    </row>
    <row r="464" spans="1:12" x14ac:dyDescent="0.3">
      <c r="A464" t="s">
        <v>14</v>
      </c>
      <c r="B464" t="s">
        <v>19</v>
      </c>
      <c r="C464" t="s">
        <v>35</v>
      </c>
      <c r="D464" t="s">
        <v>41</v>
      </c>
      <c r="E464" t="s">
        <v>49</v>
      </c>
      <c r="F464" t="s">
        <v>55</v>
      </c>
      <c r="G464">
        <v>322</v>
      </c>
      <c r="H464">
        <v>98.14</v>
      </c>
      <c r="I464">
        <v>31601.08</v>
      </c>
      <c r="J464">
        <v>24120.81</v>
      </c>
      <c r="K464">
        <v>7480.27</v>
      </c>
      <c r="L464" s="2">
        <v>45383</v>
      </c>
    </row>
    <row r="465" spans="1:12" x14ac:dyDescent="0.3">
      <c r="A465" t="s">
        <v>16</v>
      </c>
      <c r="B465" t="s">
        <v>24</v>
      </c>
      <c r="C465" t="s">
        <v>35</v>
      </c>
      <c r="D465" t="s">
        <v>42</v>
      </c>
      <c r="E465" t="s">
        <v>51</v>
      </c>
      <c r="F465" t="s">
        <v>54</v>
      </c>
      <c r="G465">
        <v>82</v>
      </c>
      <c r="H465">
        <v>36.76</v>
      </c>
      <c r="I465">
        <v>3014.32</v>
      </c>
      <c r="J465">
        <v>2171.17</v>
      </c>
      <c r="K465">
        <v>843.15</v>
      </c>
      <c r="L465" s="2">
        <v>45383</v>
      </c>
    </row>
    <row r="466" spans="1:12" x14ac:dyDescent="0.3">
      <c r="A466" t="s">
        <v>14</v>
      </c>
      <c r="B466" t="s">
        <v>18</v>
      </c>
      <c r="C466" t="s">
        <v>34</v>
      </c>
      <c r="D466" t="s">
        <v>37</v>
      </c>
      <c r="E466" t="s">
        <v>49</v>
      </c>
      <c r="F466" t="s">
        <v>53</v>
      </c>
      <c r="G466">
        <v>351</v>
      </c>
      <c r="H466">
        <v>86.18</v>
      </c>
      <c r="I466">
        <v>30249.18</v>
      </c>
      <c r="J466">
        <v>20203.189999999999</v>
      </c>
      <c r="K466">
        <v>10045.99</v>
      </c>
      <c r="L466" s="2">
        <v>45383</v>
      </c>
    </row>
    <row r="467" spans="1:12" x14ac:dyDescent="0.3">
      <c r="A467" t="s">
        <v>14</v>
      </c>
      <c r="B467" t="s">
        <v>19</v>
      </c>
      <c r="C467" t="s">
        <v>34</v>
      </c>
      <c r="D467" t="s">
        <v>37</v>
      </c>
      <c r="E467" t="s">
        <v>51</v>
      </c>
      <c r="F467" t="s">
        <v>55</v>
      </c>
      <c r="G467">
        <v>303</v>
      </c>
      <c r="H467">
        <v>279.31</v>
      </c>
      <c r="I467">
        <v>84630.93</v>
      </c>
      <c r="J467">
        <v>66876.509999999995</v>
      </c>
      <c r="K467">
        <v>17754.419999999998</v>
      </c>
      <c r="L467" s="2">
        <v>45383</v>
      </c>
    </row>
    <row r="468" spans="1:12" x14ac:dyDescent="0.3">
      <c r="A468" t="s">
        <v>16</v>
      </c>
      <c r="B468" t="s">
        <v>28</v>
      </c>
      <c r="C468" t="s">
        <v>35</v>
      </c>
      <c r="D468" t="s">
        <v>39</v>
      </c>
      <c r="E468" t="s">
        <v>49</v>
      </c>
      <c r="F468" t="s">
        <v>54</v>
      </c>
      <c r="G468">
        <v>262</v>
      </c>
      <c r="H468">
        <v>296.01</v>
      </c>
      <c r="I468">
        <v>77554.62</v>
      </c>
      <c r="J468">
        <v>56936.54</v>
      </c>
      <c r="K468">
        <v>20618.080000000002</v>
      </c>
      <c r="L468" s="2">
        <v>45383</v>
      </c>
    </row>
    <row r="469" spans="1:12" x14ac:dyDescent="0.3">
      <c r="A469" t="s">
        <v>13</v>
      </c>
      <c r="B469" t="s">
        <v>30</v>
      </c>
      <c r="C469" t="s">
        <v>35</v>
      </c>
      <c r="D469" t="s">
        <v>41</v>
      </c>
      <c r="E469" t="s">
        <v>48</v>
      </c>
      <c r="F469" t="s">
        <v>55</v>
      </c>
      <c r="G469">
        <v>280</v>
      </c>
      <c r="H469">
        <v>42.13</v>
      </c>
      <c r="I469">
        <v>11796.4</v>
      </c>
      <c r="J469">
        <v>8842.9699999999993</v>
      </c>
      <c r="K469">
        <v>2953.43</v>
      </c>
      <c r="L469" s="2">
        <v>45383</v>
      </c>
    </row>
    <row r="470" spans="1:12" x14ac:dyDescent="0.3">
      <c r="A470" t="s">
        <v>16</v>
      </c>
      <c r="B470" t="s">
        <v>28</v>
      </c>
      <c r="C470" t="s">
        <v>34</v>
      </c>
      <c r="D470" t="s">
        <v>38</v>
      </c>
      <c r="E470" t="s">
        <v>51</v>
      </c>
      <c r="F470" t="s">
        <v>55</v>
      </c>
      <c r="G470">
        <v>457</v>
      </c>
      <c r="H470">
        <v>58.35</v>
      </c>
      <c r="I470">
        <v>26665.95</v>
      </c>
      <c r="J470">
        <v>21856.94</v>
      </c>
      <c r="K470">
        <v>4809.01</v>
      </c>
      <c r="L470" s="2">
        <v>45383</v>
      </c>
    </row>
    <row r="471" spans="1:12" x14ac:dyDescent="0.3">
      <c r="A471" t="s">
        <v>13</v>
      </c>
      <c r="B471" t="s">
        <v>30</v>
      </c>
      <c r="C471" t="s">
        <v>34</v>
      </c>
      <c r="D471" t="s">
        <v>45</v>
      </c>
      <c r="E471" t="s">
        <v>51</v>
      </c>
      <c r="F471" t="s">
        <v>54</v>
      </c>
      <c r="G471">
        <v>414</v>
      </c>
      <c r="H471">
        <v>17.489999999999998</v>
      </c>
      <c r="I471">
        <v>7240.86</v>
      </c>
      <c r="J471">
        <v>4589.2</v>
      </c>
      <c r="K471">
        <v>2651.66</v>
      </c>
      <c r="L471" s="2">
        <v>45383</v>
      </c>
    </row>
    <row r="472" spans="1:12" x14ac:dyDescent="0.3">
      <c r="A472" t="s">
        <v>15</v>
      </c>
      <c r="B472" t="s">
        <v>31</v>
      </c>
      <c r="C472" t="s">
        <v>34</v>
      </c>
      <c r="D472" t="s">
        <v>45</v>
      </c>
      <c r="E472" t="s">
        <v>48</v>
      </c>
      <c r="F472" t="s">
        <v>55</v>
      </c>
      <c r="G472">
        <v>475</v>
      </c>
      <c r="H472">
        <v>159.55000000000001</v>
      </c>
      <c r="I472">
        <v>75786.25</v>
      </c>
      <c r="J472">
        <v>62891.07</v>
      </c>
      <c r="K472">
        <v>12895.18</v>
      </c>
      <c r="L472" s="2">
        <v>45383</v>
      </c>
    </row>
    <row r="473" spans="1:12" x14ac:dyDescent="0.3">
      <c r="A473" t="s">
        <v>13</v>
      </c>
      <c r="B473" t="s">
        <v>27</v>
      </c>
      <c r="C473" t="s">
        <v>34</v>
      </c>
      <c r="D473" t="s">
        <v>43</v>
      </c>
      <c r="E473" t="s">
        <v>50</v>
      </c>
      <c r="F473" t="s">
        <v>55</v>
      </c>
      <c r="G473">
        <v>391</v>
      </c>
      <c r="H473">
        <v>87.19</v>
      </c>
      <c r="I473">
        <v>34091.29</v>
      </c>
      <c r="J473">
        <v>20642.509999999998</v>
      </c>
      <c r="K473">
        <v>13448.78</v>
      </c>
      <c r="L473" s="2">
        <v>45383</v>
      </c>
    </row>
    <row r="474" spans="1:12" x14ac:dyDescent="0.3">
      <c r="A474" t="s">
        <v>14</v>
      </c>
      <c r="B474" t="s">
        <v>32</v>
      </c>
      <c r="C474" t="s">
        <v>34</v>
      </c>
      <c r="D474" t="s">
        <v>38</v>
      </c>
      <c r="E474" t="s">
        <v>48</v>
      </c>
      <c r="F474" t="s">
        <v>55</v>
      </c>
      <c r="G474">
        <v>291</v>
      </c>
      <c r="H474">
        <v>186.19</v>
      </c>
      <c r="I474">
        <v>54181.29</v>
      </c>
      <c r="J474">
        <v>35818.620000000003</v>
      </c>
      <c r="K474">
        <v>18362.669999999998</v>
      </c>
      <c r="L474" s="2">
        <v>45383</v>
      </c>
    </row>
    <row r="475" spans="1:12" x14ac:dyDescent="0.3">
      <c r="A475" t="s">
        <v>13</v>
      </c>
      <c r="B475" t="s">
        <v>17</v>
      </c>
      <c r="C475" t="s">
        <v>34</v>
      </c>
      <c r="D475" t="s">
        <v>45</v>
      </c>
      <c r="E475" t="s">
        <v>52</v>
      </c>
      <c r="F475" t="s">
        <v>55</v>
      </c>
      <c r="G475">
        <v>224</v>
      </c>
      <c r="H475">
        <v>240.65</v>
      </c>
      <c r="I475">
        <v>53905.599999999999</v>
      </c>
      <c r="J475">
        <v>42384.15</v>
      </c>
      <c r="K475">
        <v>11521.45</v>
      </c>
      <c r="L475" s="2">
        <v>45383</v>
      </c>
    </row>
    <row r="476" spans="1:12" x14ac:dyDescent="0.3">
      <c r="A476" t="s">
        <v>15</v>
      </c>
      <c r="B476" t="s">
        <v>31</v>
      </c>
      <c r="C476" t="s">
        <v>34</v>
      </c>
      <c r="D476" t="s">
        <v>37</v>
      </c>
      <c r="E476" t="s">
        <v>51</v>
      </c>
      <c r="F476" t="s">
        <v>53</v>
      </c>
      <c r="G476">
        <v>56</v>
      </c>
      <c r="H476">
        <v>66.790000000000006</v>
      </c>
      <c r="I476">
        <v>3740.24</v>
      </c>
      <c r="J476">
        <v>3082.85</v>
      </c>
      <c r="K476">
        <v>657.39</v>
      </c>
      <c r="L476" s="2">
        <v>45413</v>
      </c>
    </row>
    <row r="477" spans="1:12" x14ac:dyDescent="0.3">
      <c r="A477" t="s">
        <v>14</v>
      </c>
      <c r="B477" t="s">
        <v>23</v>
      </c>
      <c r="C477" t="s">
        <v>34</v>
      </c>
      <c r="D477" t="s">
        <v>37</v>
      </c>
      <c r="E477" t="s">
        <v>48</v>
      </c>
      <c r="F477" t="s">
        <v>54</v>
      </c>
      <c r="G477">
        <v>93</v>
      </c>
      <c r="H477">
        <v>181.96</v>
      </c>
      <c r="I477">
        <v>16922.28</v>
      </c>
      <c r="J477">
        <v>10845.17</v>
      </c>
      <c r="K477">
        <v>6077.11</v>
      </c>
      <c r="L477" s="2">
        <v>45413</v>
      </c>
    </row>
    <row r="478" spans="1:12" x14ac:dyDescent="0.3">
      <c r="A478" t="s">
        <v>15</v>
      </c>
      <c r="B478" t="s">
        <v>33</v>
      </c>
      <c r="C478" t="s">
        <v>34</v>
      </c>
      <c r="D478" t="s">
        <v>45</v>
      </c>
      <c r="E478" t="s">
        <v>50</v>
      </c>
      <c r="F478" t="s">
        <v>54</v>
      </c>
      <c r="G478">
        <v>409</v>
      </c>
      <c r="H478">
        <v>125.18</v>
      </c>
      <c r="I478">
        <v>51198.62</v>
      </c>
      <c r="J478">
        <v>39270.43</v>
      </c>
      <c r="K478">
        <v>11928.19</v>
      </c>
      <c r="L478" s="2">
        <v>45413</v>
      </c>
    </row>
    <row r="479" spans="1:12" x14ac:dyDescent="0.3">
      <c r="A479" t="s">
        <v>16</v>
      </c>
      <c r="B479" t="s">
        <v>25</v>
      </c>
      <c r="C479" t="s">
        <v>35</v>
      </c>
      <c r="D479" t="s">
        <v>46</v>
      </c>
      <c r="E479" t="s">
        <v>48</v>
      </c>
      <c r="F479" t="s">
        <v>54</v>
      </c>
      <c r="G479">
        <v>270</v>
      </c>
      <c r="H479">
        <v>201.49</v>
      </c>
      <c r="I479">
        <v>54402.3</v>
      </c>
      <c r="J479">
        <v>43037.29</v>
      </c>
      <c r="K479">
        <v>11365.01</v>
      </c>
      <c r="L479" s="2">
        <v>45413</v>
      </c>
    </row>
    <row r="480" spans="1:12" x14ac:dyDescent="0.3">
      <c r="A480" t="s">
        <v>13</v>
      </c>
      <c r="B480" t="s">
        <v>30</v>
      </c>
      <c r="C480" t="s">
        <v>34</v>
      </c>
      <c r="D480" t="s">
        <v>43</v>
      </c>
      <c r="E480" t="s">
        <v>50</v>
      </c>
      <c r="F480" t="s">
        <v>53</v>
      </c>
      <c r="G480">
        <v>39</v>
      </c>
      <c r="H480">
        <v>190.41</v>
      </c>
      <c r="I480">
        <v>7425.99</v>
      </c>
      <c r="J480">
        <v>6056.57</v>
      </c>
      <c r="K480">
        <v>1369.42</v>
      </c>
      <c r="L480" s="2">
        <v>45413</v>
      </c>
    </row>
    <row r="481" spans="1:12" x14ac:dyDescent="0.3">
      <c r="A481" t="s">
        <v>14</v>
      </c>
      <c r="B481" t="s">
        <v>18</v>
      </c>
      <c r="C481" t="s">
        <v>35</v>
      </c>
      <c r="D481" t="s">
        <v>42</v>
      </c>
      <c r="E481" t="s">
        <v>51</v>
      </c>
      <c r="F481" t="s">
        <v>54</v>
      </c>
      <c r="G481">
        <v>110</v>
      </c>
      <c r="H481">
        <v>290.14999999999998</v>
      </c>
      <c r="I481">
        <v>31916.5</v>
      </c>
      <c r="J481">
        <v>25222.32</v>
      </c>
      <c r="K481">
        <v>6694.18</v>
      </c>
      <c r="L481" s="2">
        <v>45413</v>
      </c>
    </row>
    <row r="482" spans="1:12" x14ac:dyDescent="0.3">
      <c r="A482" t="s">
        <v>14</v>
      </c>
      <c r="B482" t="s">
        <v>18</v>
      </c>
      <c r="C482" t="s">
        <v>34</v>
      </c>
      <c r="D482" t="s">
        <v>45</v>
      </c>
      <c r="E482" t="s">
        <v>52</v>
      </c>
      <c r="F482" t="s">
        <v>54</v>
      </c>
      <c r="G482">
        <v>188</v>
      </c>
      <c r="H482">
        <v>81.99</v>
      </c>
      <c r="I482">
        <v>15414.12</v>
      </c>
      <c r="J482">
        <v>11474.39</v>
      </c>
      <c r="K482">
        <v>3939.73</v>
      </c>
      <c r="L482" s="2">
        <v>45413</v>
      </c>
    </row>
    <row r="483" spans="1:12" x14ac:dyDescent="0.3">
      <c r="A483" t="s">
        <v>14</v>
      </c>
      <c r="B483" t="s">
        <v>32</v>
      </c>
      <c r="C483" t="s">
        <v>34</v>
      </c>
      <c r="D483" t="s">
        <v>36</v>
      </c>
      <c r="E483" t="s">
        <v>48</v>
      </c>
      <c r="F483" t="s">
        <v>54</v>
      </c>
      <c r="G483">
        <v>299</v>
      </c>
      <c r="H483">
        <v>58.39</v>
      </c>
      <c r="I483">
        <v>17458.61</v>
      </c>
      <c r="J483">
        <v>12354.28</v>
      </c>
      <c r="K483">
        <v>5104.33</v>
      </c>
      <c r="L483" s="2">
        <v>45413</v>
      </c>
    </row>
    <row r="484" spans="1:12" x14ac:dyDescent="0.3">
      <c r="A484" t="s">
        <v>15</v>
      </c>
      <c r="B484" t="s">
        <v>31</v>
      </c>
      <c r="C484" t="s">
        <v>34</v>
      </c>
      <c r="D484" t="s">
        <v>36</v>
      </c>
      <c r="E484" t="s">
        <v>52</v>
      </c>
      <c r="F484" t="s">
        <v>54</v>
      </c>
      <c r="G484">
        <v>365</v>
      </c>
      <c r="H484">
        <v>285.17</v>
      </c>
      <c r="I484">
        <v>104087.05</v>
      </c>
      <c r="J484">
        <v>63269.88</v>
      </c>
      <c r="K484">
        <v>40817.17</v>
      </c>
      <c r="L484" s="2">
        <v>45413</v>
      </c>
    </row>
    <row r="485" spans="1:12" x14ac:dyDescent="0.3">
      <c r="A485" t="s">
        <v>14</v>
      </c>
      <c r="B485" t="s">
        <v>19</v>
      </c>
      <c r="C485" t="s">
        <v>34</v>
      </c>
      <c r="D485" t="s">
        <v>43</v>
      </c>
      <c r="E485" t="s">
        <v>51</v>
      </c>
      <c r="F485" t="s">
        <v>54</v>
      </c>
      <c r="G485">
        <v>102</v>
      </c>
      <c r="H485">
        <v>59.47</v>
      </c>
      <c r="I485">
        <v>6065.94</v>
      </c>
      <c r="J485">
        <v>5077.3599999999997</v>
      </c>
      <c r="K485">
        <v>988.58</v>
      </c>
      <c r="L485" s="2">
        <v>45413</v>
      </c>
    </row>
    <row r="486" spans="1:12" x14ac:dyDescent="0.3">
      <c r="A486" t="s">
        <v>14</v>
      </c>
      <c r="B486" t="s">
        <v>32</v>
      </c>
      <c r="C486" t="s">
        <v>34</v>
      </c>
      <c r="D486" t="s">
        <v>37</v>
      </c>
      <c r="E486" t="s">
        <v>48</v>
      </c>
      <c r="F486" t="s">
        <v>55</v>
      </c>
      <c r="G486">
        <v>158</v>
      </c>
      <c r="H486">
        <v>45.2</v>
      </c>
      <c r="I486">
        <v>7141.6</v>
      </c>
      <c r="J486">
        <v>4826.43</v>
      </c>
      <c r="K486">
        <v>2315.17</v>
      </c>
      <c r="L486" s="2">
        <v>45413</v>
      </c>
    </row>
    <row r="487" spans="1:12" x14ac:dyDescent="0.3">
      <c r="A487" t="s">
        <v>15</v>
      </c>
      <c r="B487" t="s">
        <v>21</v>
      </c>
      <c r="C487" t="s">
        <v>34</v>
      </c>
      <c r="D487" t="s">
        <v>45</v>
      </c>
      <c r="E487" t="s">
        <v>49</v>
      </c>
      <c r="F487" t="s">
        <v>55</v>
      </c>
      <c r="G487">
        <v>129</v>
      </c>
      <c r="H487">
        <v>23.27</v>
      </c>
      <c r="I487">
        <v>3001.83</v>
      </c>
      <c r="J487">
        <v>2455.15</v>
      </c>
      <c r="K487">
        <v>546.67999999999995</v>
      </c>
      <c r="L487" s="2">
        <v>45413</v>
      </c>
    </row>
    <row r="488" spans="1:12" x14ac:dyDescent="0.3">
      <c r="A488" t="s">
        <v>13</v>
      </c>
      <c r="B488" t="s">
        <v>17</v>
      </c>
      <c r="C488" t="s">
        <v>35</v>
      </c>
      <c r="D488" t="s">
        <v>42</v>
      </c>
      <c r="E488" t="s">
        <v>49</v>
      </c>
      <c r="F488" t="s">
        <v>55</v>
      </c>
      <c r="G488">
        <v>152</v>
      </c>
      <c r="H488">
        <v>227.46</v>
      </c>
      <c r="I488">
        <v>34573.919999999998</v>
      </c>
      <c r="J488">
        <v>24311.3</v>
      </c>
      <c r="K488">
        <v>10262.620000000001</v>
      </c>
      <c r="L488" s="2">
        <v>45413</v>
      </c>
    </row>
    <row r="489" spans="1:12" x14ac:dyDescent="0.3">
      <c r="A489" t="s">
        <v>13</v>
      </c>
      <c r="B489" t="s">
        <v>30</v>
      </c>
      <c r="C489" t="s">
        <v>35</v>
      </c>
      <c r="D489" t="s">
        <v>46</v>
      </c>
      <c r="E489" t="s">
        <v>49</v>
      </c>
      <c r="F489" t="s">
        <v>53</v>
      </c>
      <c r="G489">
        <v>375</v>
      </c>
      <c r="H489">
        <v>162.71</v>
      </c>
      <c r="I489">
        <v>61016.25</v>
      </c>
      <c r="J489">
        <v>48824.44</v>
      </c>
      <c r="K489">
        <v>12191.81</v>
      </c>
      <c r="L489" s="2">
        <v>45413</v>
      </c>
    </row>
    <row r="490" spans="1:12" x14ac:dyDescent="0.3">
      <c r="A490" t="s">
        <v>13</v>
      </c>
      <c r="B490" t="s">
        <v>27</v>
      </c>
      <c r="C490" t="s">
        <v>35</v>
      </c>
      <c r="D490" t="s">
        <v>44</v>
      </c>
      <c r="E490" t="s">
        <v>50</v>
      </c>
      <c r="F490" t="s">
        <v>55</v>
      </c>
      <c r="G490">
        <v>239</v>
      </c>
      <c r="H490">
        <v>231.07</v>
      </c>
      <c r="I490">
        <v>55225.73</v>
      </c>
      <c r="J490">
        <v>39416.239999999998</v>
      </c>
      <c r="K490">
        <v>15809.49</v>
      </c>
      <c r="L490" s="2">
        <v>45413</v>
      </c>
    </row>
    <row r="491" spans="1:12" x14ac:dyDescent="0.3">
      <c r="A491" t="s">
        <v>15</v>
      </c>
      <c r="B491" t="s">
        <v>21</v>
      </c>
      <c r="C491" t="s">
        <v>34</v>
      </c>
      <c r="D491" t="s">
        <v>37</v>
      </c>
      <c r="E491" t="s">
        <v>50</v>
      </c>
      <c r="F491" t="s">
        <v>54</v>
      </c>
      <c r="G491">
        <v>169</v>
      </c>
      <c r="H491">
        <v>117.64</v>
      </c>
      <c r="I491">
        <v>19881.16</v>
      </c>
      <c r="J491">
        <v>14916.21</v>
      </c>
      <c r="K491">
        <v>4964.95</v>
      </c>
      <c r="L491" s="2">
        <v>45413</v>
      </c>
    </row>
    <row r="492" spans="1:12" x14ac:dyDescent="0.3">
      <c r="A492" t="s">
        <v>14</v>
      </c>
      <c r="B492" t="s">
        <v>23</v>
      </c>
      <c r="C492" t="s">
        <v>35</v>
      </c>
      <c r="D492" t="s">
        <v>39</v>
      </c>
      <c r="E492" t="s">
        <v>52</v>
      </c>
      <c r="F492" t="s">
        <v>55</v>
      </c>
      <c r="G492">
        <v>497</v>
      </c>
      <c r="H492">
        <v>241.29</v>
      </c>
      <c r="I492">
        <v>119921.13</v>
      </c>
      <c r="J492">
        <v>90417.89</v>
      </c>
      <c r="K492">
        <v>29503.24</v>
      </c>
      <c r="L492" s="2">
        <v>45413</v>
      </c>
    </row>
    <row r="493" spans="1:12" x14ac:dyDescent="0.3">
      <c r="A493" t="s">
        <v>14</v>
      </c>
      <c r="B493" t="s">
        <v>18</v>
      </c>
      <c r="C493" t="s">
        <v>34</v>
      </c>
      <c r="D493" t="s">
        <v>45</v>
      </c>
      <c r="E493" t="s">
        <v>49</v>
      </c>
      <c r="F493" t="s">
        <v>53</v>
      </c>
      <c r="G493">
        <v>167</v>
      </c>
      <c r="H493">
        <v>151.36000000000001</v>
      </c>
      <c r="I493">
        <v>25277.119999999999</v>
      </c>
      <c r="J493">
        <v>20819.2</v>
      </c>
      <c r="K493">
        <v>4457.92</v>
      </c>
      <c r="L493" s="2">
        <v>45413</v>
      </c>
    </row>
    <row r="494" spans="1:12" x14ac:dyDescent="0.3">
      <c r="A494" t="s">
        <v>16</v>
      </c>
      <c r="B494" t="s">
        <v>28</v>
      </c>
      <c r="C494" t="s">
        <v>35</v>
      </c>
      <c r="D494" t="s">
        <v>47</v>
      </c>
      <c r="E494" t="s">
        <v>51</v>
      </c>
      <c r="F494" t="s">
        <v>53</v>
      </c>
      <c r="G494">
        <v>255</v>
      </c>
      <c r="H494">
        <v>49.15</v>
      </c>
      <c r="I494">
        <v>12533.25</v>
      </c>
      <c r="J494">
        <v>9035.7099999999991</v>
      </c>
      <c r="K494">
        <v>3497.54</v>
      </c>
      <c r="L494" s="2">
        <v>45413</v>
      </c>
    </row>
    <row r="495" spans="1:12" x14ac:dyDescent="0.3">
      <c r="A495" t="s">
        <v>13</v>
      </c>
      <c r="B495" t="s">
        <v>26</v>
      </c>
      <c r="C495" t="s">
        <v>34</v>
      </c>
      <c r="D495" t="s">
        <v>43</v>
      </c>
      <c r="E495" t="s">
        <v>49</v>
      </c>
      <c r="F495" t="s">
        <v>55</v>
      </c>
      <c r="G495">
        <v>466</v>
      </c>
      <c r="H495">
        <v>123.36</v>
      </c>
      <c r="I495">
        <v>57485.760000000002</v>
      </c>
      <c r="J495">
        <v>43034.94</v>
      </c>
      <c r="K495">
        <v>14450.82</v>
      </c>
      <c r="L495" s="2">
        <v>45413</v>
      </c>
    </row>
    <row r="496" spans="1:12" x14ac:dyDescent="0.3">
      <c r="A496" t="s">
        <v>14</v>
      </c>
      <c r="B496" t="s">
        <v>32</v>
      </c>
      <c r="C496" t="s">
        <v>34</v>
      </c>
      <c r="D496" t="s">
        <v>37</v>
      </c>
      <c r="E496" t="s">
        <v>48</v>
      </c>
      <c r="F496" t="s">
        <v>53</v>
      </c>
      <c r="G496">
        <v>273</v>
      </c>
      <c r="H496">
        <v>180.1</v>
      </c>
      <c r="I496">
        <v>49167.3</v>
      </c>
      <c r="J496">
        <v>36438.61</v>
      </c>
      <c r="K496">
        <v>12728.69</v>
      </c>
      <c r="L496" s="2">
        <v>45413</v>
      </c>
    </row>
    <row r="497" spans="1:12" x14ac:dyDescent="0.3">
      <c r="A497" t="s">
        <v>15</v>
      </c>
      <c r="B497" t="s">
        <v>33</v>
      </c>
      <c r="C497" t="s">
        <v>35</v>
      </c>
      <c r="D497" t="s">
        <v>41</v>
      </c>
      <c r="E497" t="s">
        <v>51</v>
      </c>
      <c r="F497" t="s">
        <v>55</v>
      </c>
      <c r="G497">
        <v>399</v>
      </c>
      <c r="H497">
        <v>65.13</v>
      </c>
      <c r="I497">
        <v>25986.87</v>
      </c>
      <c r="J497">
        <v>20741.39</v>
      </c>
      <c r="K497">
        <v>5245.48</v>
      </c>
      <c r="L497" s="2">
        <v>45413</v>
      </c>
    </row>
    <row r="498" spans="1:12" x14ac:dyDescent="0.3">
      <c r="A498" t="s">
        <v>14</v>
      </c>
      <c r="B498" t="s">
        <v>32</v>
      </c>
      <c r="C498" t="s">
        <v>34</v>
      </c>
      <c r="D498" t="s">
        <v>36</v>
      </c>
      <c r="E498" t="s">
        <v>51</v>
      </c>
      <c r="F498" t="s">
        <v>53</v>
      </c>
      <c r="G498">
        <v>265</v>
      </c>
      <c r="H498">
        <v>168.06</v>
      </c>
      <c r="I498">
        <v>44535.9</v>
      </c>
      <c r="J498">
        <v>37684.83</v>
      </c>
      <c r="K498">
        <v>6851.07</v>
      </c>
      <c r="L498" s="2">
        <v>45413</v>
      </c>
    </row>
    <row r="499" spans="1:12" x14ac:dyDescent="0.3">
      <c r="A499" t="s">
        <v>13</v>
      </c>
      <c r="B499" t="s">
        <v>27</v>
      </c>
      <c r="C499" t="s">
        <v>35</v>
      </c>
      <c r="D499" t="s">
        <v>41</v>
      </c>
      <c r="E499" t="s">
        <v>50</v>
      </c>
      <c r="F499" t="s">
        <v>53</v>
      </c>
      <c r="G499">
        <v>63</v>
      </c>
      <c r="H499">
        <v>291.04000000000002</v>
      </c>
      <c r="I499">
        <v>18335.52</v>
      </c>
      <c r="J499">
        <v>15052.48</v>
      </c>
      <c r="K499">
        <v>3283.04</v>
      </c>
      <c r="L499" s="2">
        <v>45413</v>
      </c>
    </row>
    <row r="500" spans="1:12" x14ac:dyDescent="0.3">
      <c r="A500" t="s">
        <v>15</v>
      </c>
      <c r="B500" t="s">
        <v>20</v>
      </c>
      <c r="C500" t="s">
        <v>34</v>
      </c>
      <c r="D500" t="s">
        <v>45</v>
      </c>
      <c r="E500" t="s">
        <v>52</v>
      </c>
      <c r="F500" t="s">
        <v>55</v>
      </c>
      <c r="G500">
        <v>44</v>
      </c>
      <c r="H500">
        <v>187.95</v>
      </c>
      <c r="I500">
        <v>8269.7999999999993</v>
      </c>
      <c r="J500">
        <v>5145.07</v>
      </c>
      <c r="K500">
        <v>3124.73</v>
      </c>
      <c r="L500" s="2">
        <v>45413</v>
      </c>
    </row>
    <row r="501" spans="1:12" x14ac:dyDescent="0.3">
      <c r="A501" t="s">
        <v>16</v>
      </c>
      <c r="B501" t="s">
        <v>28</v>
      </c>
      <c r="C501" t="s">
        <v>35</v>
      </c>
      <c r="D501" t="s">
        <v>41</v>
      </c>
      <c r="E501" t="s">
        <v>51</v>
      </c>
      <c r="F501" t="s">
        <v>54</v>
      </c>
      <c r="G501">
        <v>308</v>
      </c>
      <c r="H501">
        <v>161.22</v>
      </c>
      <c r="I501">
        <v>49655.76</v>
      </c>
      <c r="J501">
        <v>41925.699999999997</v>
      </c>
      <c r="K501">
        <v>7730.06</v>
      </c>
      <c r="L501" s="2">
        <v>45413</v>
      </c>
    </row>
    <row r="502" spans="1:12" x14ac:dyDescent="0.3">
      <c r="A502" t="s">
        <v>15</v>
      </c>
      <c r="B502" t="s">
        <v>20</v>
      </c>
      <c r="C502" t="s">
        <v>35</v>
      </c>
      <c r="D502" t="s">
        <v>44</v>
      </c>
      <c r="E502" t="s">
        <v>49</v>
      </c>
      <c r="F502" t="s">
        <v>53</v>
      </c>
      <c r="G502">
        <v>428</v>
      </c>
      <c r="H502">
        <v>111.17</v>
      </c>
      <c r="I502">
        <v>47580.76</v>
      </c>
      <c r="J502">
        <v>39605.379999999997</v>
      </c>
      <c r="K502">
        <v>7975.38</v>
      </c>
      <c r="L502" s="2">
        <v>45413</v>
      </c>
    </row>
    <row r="503" spans="1:12" x14ac:dyDescent="0.3">
      <c r="A503" t="s">
        <v>14</v>
      </c>
      <c r="B503" t="s">
        <v>23</v>
      </c>
      <c r="C503" t="s">
        <v>34</v>
      </c>
      <c r="D503" t="s">
        <v>45</v>
      </c>
      <c r="E503" t="s">
        <v>51</v>
      </c>
      <c r="F503" t="s">
        <v>55</v>
      </c>
      <c r="G503">
        <v>299</v>
      </c>
      <c r="H503">
        <v>58.24</v>
      </c>
      <c r="I503">
        <v>17413.759999999998</v>
      </c>
      <c r="J503">
        <v>13135.86</v>
      </c>
      <c r="K503">
        <v>4277.8999999999996</v>
      </c>
      <c r="L503" s="2">
        <v>45413</v>
      </c>
    </row>
    <row r="504" spans="1:12" x14ac:dyDescent="0.3">
      <c r="A504" t="s">
        <v>16</v>
      </c>
      <c r="B504" t="s">
        <v>24</v>
      </c>
      <c r="C504" t="s">
        <v>35</v>
      </c>
      <c r="D504" t="s">
        <v>46</v>
      </c>
      <c r="E504" t="s">
        <v>48</v>
      </c>
      <c r="F504" t="s">
        <v>55</v>
      </c>
      <c r="G504">
        <v>376</v>
      </c>
      <c r="H504">
        <v>151.71</v>
      </c>
      <c r="I504">
        <v>57042.96</v>
      </c>
      <c r="J504">
        <v>45212.36</v>
      </c>
      <c r="K504">
        <v>11830.6</v>
      </c>
      <c r="L504" s="2">
        <v>45413</v>
      </c>
    </row>
    <row r="505" spans="1:12" x14ac:dyDescent="0.3">
      <c r="A505" t="s">
        <v>16</v>
      </c>
      <c r="B505" t="s">
        <v>24</v>
      </c>
      <c r="C505" t="s">
        <v>34</v>
      </c>
      <c r="D505" t="s">
        <v>43</v>
      </c>
      <c r="E505" t="s">
        <v>50</v>
      </c>
      <c r="F505" t="s">
        <v>53</v>
      </c>
      <c r="G505">
        <v>195</v>
      </c>
      <c r="H505">
        <v>258.57</v>
      </c>
      <c r="I505">
        <v>50421.15</v>
      </c>
      <c r="J505">
        <v>37505.21</v>
      </c>
      <c r="K505">
        <v>12915.94</v>
      </c>
      <c r="L505" s="2">
        <v>45413</v>
      </c>
    </row>
    <row r="506" spans="1:12" x14ac:dyDescent="0.3">
      <c r="A506" t="s">
        <v>15</v>
      </c>
      <c r="B506" t="s">
        <v>31</v>
      </c>
      <c r="C506" t="s">
        <v>35</v>
      </c>
      <c r="D506" t="s">
        <v>47</v>
      </c>
      <c r="E506" t="s">
        <v>48</v>
      </c>
      <c r="F506" t="s">
        <v>54</v>
      </c>
      <c r="G506">
        <v>328</v>
      </c>
      <c r="H506">
        <v>119.41</v>
      </c>
      <c r="I506">
        <v>39166.480000000003</v>
      </c>
      <c r="J506">
        <v>23525.3</v>
      </c>
      <c r="K506">
        <v>15641.18</v>
      </c>
      <c r="L506" s="2">
        <v>45413</v>
      </c>
    </row>
    <row r="507" spans="1:12" x14ac:dyDescent="0.3">
      <c r="A507" t="s">
        <v>15</v>
      </c>
      <c r="B507" t="s">
        <v>21</v>
      </c>
      <c r="C507" t="s">
        <v>34</v>
      </c>
      <c r="D507" t="s">
        <v>38</v>
      </c>
      <c r="E507" t="s">
        <v>51</v>
      </c>
      <c r="F507" t="s">
        <v>55</v>
      </c>
      <c r="G507">
        <v>49</v>
      </c>
      <c r="H507">
        <v>252.44</v>
      </c>
      <c r="I507">
        <v>12369.56</v>
      </c>
      <c r="J507">
        <v>8150.9</v>
      </c>
      <c r="K507">
        <v>4218.66</v>
      </c>
      <c r="L507" s="2">
        <v>45413</v>
      </c>
    </row>
    <row r="508" spans="1:12" x14ac:dyDescent="0.3">
      <c r="A508" t="s">
        <v>13</v>
      </c>
      <c r="B508" t="s">
        <v>30</v>
      </c>
      <c r="C508" t="s">
        <v>35</v>
      </c>
      <c r="D508" t="s">
        <v>41</v>
      </c>
      <c r="E508" t="s">
        <v>50</v>
      </c>
      <c r="F508" t="s">
        <v>53</v>
      </c>
      <c r="G508">
        <v>468</v>
      </c>
      <c r="H508">
        <v>220.2</v>
      </c>
      <c r="I508">
        <v>103053.6</v>
      </c>
      <c r="J508">
        <v>77117.039999999994</v>
      </c>
      <c r="K508">
        <v>25936.560000000001</v>
      </c>
      <c r="L508" s="2">
        <v>45413</v>
      </c>
    </row>
    <row r="509" spans="1:12" x14ac:dyDescent="0.3">
      <c r="A509" t="s">
        <v>16</v>
      </c>
      <c r="B509" t="s">
        <v>22</v>
      </c>
      <c r="C509" t="s">
        <v>35</v>
      </c>
      <c r="D509" t="s">
        <v>42</v>
      </c>
      <c r="E509" t="s">
        <v>51</v>
      </c>
      <c r="F509" t="s">
        <v>54</v>
      </c>
      <c r="G509">
        <v>34</v>
      </c>
      <c r="H509">
        <v>176.8</v>
      </c>
      <c r="I509">
        <v>6011.2</v>
      </c>
      <c r="J509">
        <v>4327.09</v>
      </c>
      <c r="K509">
        <v>1684.11</v>
      </c>
      <c r="L509" s="2">
        <v>45413</v>
      </c>
    </row>
    <row r="510" spans="1:12" x14ac:dyDescent="0.3">
      <c r="A510" t="s">
        <v>14</v>
      </c>
      <c r="B510" t="s">
        <v>18</v>
      </c>
      <c r="C510" t="s">
        <v>34</v>
      </c>
      <c r="D510" t="s">
        <v>36</v>
      </c>
      <c r="E510" t="s">
        <v>48</v>
      </c>
      <c r="F510" t="s">
        <v>53</v>
      </c>
      <c r="G510">
        <v>290</v>
      </c>
      <c r="H510">
        <v>230.73</v>
      </c>
      <c r="I510">
        <v>66911.7</v>
      </c>
      <c r="J510">
        <v>42824.69</v>
      </c>
      <c r="K510">
        <v>24087.01</v>
      </c>
      <c r="L510" s="2">
        <v>45413</v>
      </c>
    </row>
    <row r="511" spans="1:12" x14ac:dyDescent="0.3">
      <c r="A511" t="s">
        <v>13</v>
      </c>
      <c r="B511" t="s">
        <v>17</v>
      </c>
      <c r="C511" t="s">
        <v>35</v>
      </c>
      <c r="D511" t="s">
        <v>39</v>
      </c>
      <c r="E511" t="s">
        <v>48</v>
      </c>
      <c r="F511" t="s">
        <v>55</v>
      </c>
      <c r="G511">
        <v>35</v>
      </c>
      <c r="H511">
        <v>171.81</v>
      </c>
      <c r="I511">
        <v>6013.35</v>
      </c>
      <c r="J511">
        <v>4438.62</v>
      </c>
      <c r="K511">
        <v>1574.73</v>
      </c>
      <c r="L511" s="2">
        <v>45413</v>
      </c>
    </row>
    <row r="512" spans="1:12" x14ac:dyDescent="0.3">
      <c r="A512" t="s">
        <v>15</v>
      </c>
      <c r="B512" t="s">
        <v>20</v>
      </c>
      <c r="C512" t="s">
        <v>35</v>
      </c>
      <c r="D512" t="s">
        <v>47</v>
      </c>
      <c r="E512" t="s">
        <v>48</v>
      </c>
      <c r="F512" t="s">
        <v>55</v>
      </c>
      <c r="G512">
        <v>49</v>
      </c>
      <c r="H512">
        <v>23.82</v>
      </c>
      <c r="I512">
        <v>1167.18</v>
      </c>
      <c r="J512">
        <v>912.37</v>
      </c>
      <c r="K512">
        <v>254.81</v>
      </c>
      <c r="L512" s="2">
        <v>45413</v>
      </c>
    </row>
    <row r="513" spans="1:12" x14ac:dyDescent="0.3">
      <c r="A513" t="s">
        <v>13</v>
      </c>
      <c r="B513" t="s">
        <v>30</v>
      </c>
      <c r="C513" t="s">
        <v>35</v>
      </c>
      <c r="D513" t="s">
        <v>46</v>
      </c>
      <c r="E513" t="s">
        <v>50</v>
      </c>
      <c r="F513" t="s">
        <v>54</v>
      </c>
      <c r="G513">
        <v>143</v>
      </c>
      <c r="H513">
        <v>50.97</v>
      </c>
      <c r="I513">
        <v>7288.71</v>
      </c>
      <c r="J513">
        <v>4759.5</v>
      </c>
      <c r="K513">
        <v>2529.21</v>
      </c>
      <c r="L513" s="2">
        <v>45413</v>
      </c>
    </row>
    <row r="514" spans="1:12" x14ac:dyDescent="0.3">
      <c r="A514" t="s">
        <v>16</v>
      </c>
      <c r="B514" t="s">
        <v>25</v>
      </c>
      <c r="C514" t="s">
        <v>34</v>
      </c>
      <c r="D514" t="s">
        <v>43</v>
      </c>
      <c r="E514" t="s">
        <v>49</v>
      </c>
      <c r="F514" t="s">
        <v>53</v>
      </c>
      <c r="G514">
        <v>285</v>
      </c>
      <c r="H514">
        <v>73.87</v>
      </c>
      <c r="I514">
        <v>21052.95</v>
      </c>
      <c r="J514">
        <v>15202.2</v>
      </c>
      <c r="K514">
        <v>5850.75</v>
      </c>
      <c r="L514" s="2">
        <v>45413</v>
      </c>
    </row>
    <row r="515" spans="1:12" x14ac:dyDescent="0.3">
      <c r="A515" t="s">
        <v>15</v>
      </c>
      <c r="B515" t="s">
        <v>21</v>
      </c>
      <c r="C515" t="s">
        <v>34</v>
      </c>
      <c r="D515" t="s">
        <v>38</v>
      </c>
      <c r="E515" t="s">
        <v>52</v>
      </c>
      <c r="F515" t="s">
        <v>53</v>
      </c>
      <c r="G515">
        <v>158</v>
      </c>
      <c r="H515">
        <v>207.84</v>
      </c>
      <c r="I515">
        <v>32838.720000000001</v>
      </c>
      <c r="J515">
        <v>23546.63</v>
      </c>
      <c r="K515">
        <v>9292.09</v>
      </c>
      <c r="L515" s="2">
        <v>45413</v>
      </c>
    </row>
    <row r="516" spans="1:12" x14ac:dyDescent="0.3">
      <c r="A516" t="s">
        <v>16</v>
      </c>
      <c r="B516" t="s">
        <v>22</v>
      </c>
      <c r="C516" t="s">
        <v>35</v>
      </c>
      <c r="D516" t="s">
        <v>40</v>
      </c>
      <c r="E516" t="s">
        <v>48</v>
      </c>
      <c r="F516" t="s">
        <v>53</v>
      </c>
      <c r="G516">
        <v>343</v>
      </c>
      <c r="H516">
        <v>264.07</v>
      </c>
      <c r="I516">
        <v>90576.01</v>
      </c>
      <c r="J516">
        <v>60635.040000000001</v>
      </c>
      <c r="K516">
        <v>29940.97</v>
      </c>
      <c r="L516" s="2">
        <v>45444</v>
      </c>
    </row>
    <row r="517" spans="1:12" x14ac:dyDescent="0.3">
      <c r="A517" t="s">
        <v>15</v>
      </c>
      <c r="B517" t="s">
        <v>33</v>
      </c>
      <c r="C517" t="s">
        <v>34</v>
      </c>
      <c r="D517" t="s">
        <v>45</v>
      </c>
      <c r="E517" t="s">
        <v>51</v>
      </c>
      <c r="F517" t="s">
        <v>54</v>
      </c>
      <c r="G517">
        <v>313</v>
      </c>
      <c r="H517">
        <v>121.68</v>
      </c>
      <c r="I517">
        <v>38085.839999999997</v>
      </c>
      <c r="J517">
        <v>31095.38</v>
      </c>
      <c r="K517">
        <v>6990.46</v>
      </c>
      <c r="L517" s="2">
        <v>45444</v>
      </c>
    </row>
    <row r="518" spans="1:12" x14ac:dyDescent="0.3">
      <c r="A518" t="s">
        <v>16</v>
      </c>
      <c r="B518" t="s">
        <v>25</v>
      </c>
      <c r="C518" t="s">
        <v>35</v>
      </c>
      <c r="D518" t="s">
        <v>47</v>
      </c>
      <c r="E518" t="s">
        <v>52</v>
      </c>
      <c r="F518" t="s">
        <v>55</v>
      </c>
      <c r="G518">
        <v>388</v>
      </c>
      <c r="H518">
        <v>241.94</v>
      </c>
      <c r="I518">
        <v>93872.72</v>
      </c>
      <c r="J518">
        <v>64523.11</v>
      </c>
      <c r="K518">
        <v>29349.61</v>
      </c>
      <c r="L518" s="2">
        <v>45444</v>
      </c>
    </row>
    <row r="519" spans="1:12" x14ac:dyDescent="0.3">
      <c r="A519" t="s">
        <v>16</v>
      </c>
      <c r="B519" t="s">
        <v>22</v>
      </c>
      <c r="C519" t="s">
        <v>34</v>
      </c>
      <c r="D519" t="s">
        <v>38</v>
      </c>
      <c r="E519" t="s">
        <v>50</v>
      </c>
      <c r="F519" t="s">
        <v>54</v>
      </c>
      <c r="G519">
        <v>210</v>
      </c>
      <c r="H519">
        <v>253.44</v>
      </c>
      <c r="I519">
        <v>53222.400000000001</v>
      </c>
      <c r="J519">
        <v>44996.86</v>
      </c>
      <c r="K519">
        <v>8225.5400000000009</v>
      </c>
      <c r="L519" s="2">
        <v>45444</v>
      </c>
    </row>
    <row r="520" spans="1:12" x14ac:dyDescent="0.3">
      <c r="A520" t="s">
        <v>16</v>
      </c>
      <c r="B520" t="s">
        <v>22</v>
      </c>
      <c r="C520" t="s">
        <v>34</v>
      </c>
      <c r="D520" t="s">
        <v>43</v>
      </c>
      <c r="E520" t="s">
        <v>52</v>
      </c>
      <c r="F520" t="s">
        <v>53</v>
      </c>
      <c r="G520">
        <v>25</v>
      </c>
      <c r="H520">
        <v>133.78</v>
      </c>
      <c r="I520">
        <v>3344.5</v>
      </c>
      <c r="J520">
        <v>2739.7</v>
      </c>
      <c r="K520">
        <v>604.79999999999995</v>
      </c>
      <c r="L520" s="2">
        <v>45444</v>
      </c>
    </row>
    <row r="521" spans="1:12" x14ac:dyDescent="0.3">
      <c r="A521" t="s">
        <v>15</v>
      </c>
      <c r="B521" t="s">
        <v>31</v>
      </c>
      <c r="C521" t="s">
        <v>34</v>
      </c>
      <c r="D521" t="s">
        <v>38</v>
      </c>
      <c r="E521" t="s">
        <v>50</v>
      </c>
      <c r="F521" t="s">
        <v>54</v>
      </c>
      <c r="G521">
        <v>259</v>
      </c>
      <c r="H521">
        <v>143.82</v>
      </c>
      <c r="I521">
        <v>37249.379999999997</v>
      </c>
      <c r="J521">
        <v>29155.26</v>
      </c>
      <c r="K521">
        <v>8094.12</v>
      </c>
      <c r="L521" s="2">
        <v>45444</v>
      </c>
    </row>
    <row r="522" spans="1:12" x14ac:dyDescent="0.3">
      <c r="A522" t="s">
        <v>16</v>
      </c>
      <c r="B522" t="s">
        <v>24</v>
      </c>
      <c r="C522" t="s">
        <v>34</v>
      </c>
      <c r="D522" t="s">
        <v>36</v>
      </c>
      <c r="E522" t="s">
        <v>52</v>
      </c>
      <c r="F522" t="s">
        <v>53</v>
      </c>
      <c r="G522">
        <v>135</v>
      </c>
      <c r="H522">
        <v>254.18</v>
      </c>
      <c r="I522">
        <v>34314.300000000003</v>
      </c>
      <c r="J522">
        <v>26837.99</v>
      </c>
      <c r="K522">
        <v>7476.31</v>
      </c>
      <c r="L522" s="2">
        <v>45444</v>
      </c>
    </row>
    <row r="523" spans="1:12" x14ac:dyDescent="0.3">
      <c r="A523" t="s">
        <v>16</v>
      </c>
      <c r="B523" t="s">
        <v>25</v>
      </c>
      <c r="C523" t="s">
        <v>35</v>
      </c>
      <c r="D523" t="s">
        <v>46</v>
      </c>
      <c r="E523" t="s">
        <v>48</v>
      </c>
      <c r="F523" t="s">
        <v>53</v>
      </c>
      <c r="G523">
        <v>55</v>
      </c>
      <c r="H523">
        <v>70.05</v>
      </c>
      <c r="I523">
        <v>3852.75</v>
      </c>
      <c r="J523">
        <v>2380.19</v>
      </c>
      <c r="K523">
        <v>1472.56</v>
      </c>
      <c r="L523" s="2">
        <v>45444</v>
      </c>
    </row>
    <row r="524" spans="1:12" x14ac:dyDescent="0.3">
      <c r="A524" t="s">
        <v>13</v>
      </c>
      <c r="B524" t="s">
        <v>30</v>
      </c>
      <c r="C524" t="s">
        <v>35</v>
      </c>
      <c r="D524" t="s">
        <v>42</v>
      </c>
      <c r="E524" t="s">
        <v>50</v>
      </c>
      <c r="F524" t="s">
        <v>53</v>
      </c>
      <c r="G524">
        <v>450</v>
      </c>
      <c r="H524">
        <v>190.5</v>
      </c>
      <c r="I524">
        <v>85725</v>
      </c>
      <c r="J524">
        <v>68179.7</v>
      </c>
      <c r="K524">
        <v>17545.3</v>
      </c>
      <c r="L524" s="2">
        <v>45444</v>
      </c>
    </row>
    <row r="525" spans="1:12" x14ac:dyDescent="0.3">
      <c r="A525" t="s">
        <v>15</v>
      </c>
      <c r="B525" t="s">
        <v>31</v>
      </c>
      <c r="C525" t="s">
        <v>35</v>
      </c>
      <c r="D525" t="s">
        <v>42</v>
      </c>
      <c r="E525" t="s">
        <v>51</v>
      </c>
      <c r="F525" t="s">
        <v>54</v>
      </c>
      <c r="G525">
        <v>85</v>
      </c>
      <c r="H525">
        <v>230.05</v>
      </c>
      <c r="I525">
        <v>19554.25</v>
      </c>
      <c r="J525">
        <v>13113.55</v>
      </c>
      <c r="K525">
        <v>6440.7</v>
      </c>
      <c r="L525" s="2">
        <v>45444</v>
      </c>
    </row>
    <row r="526" spans="1:12" x14ac:dyDescent="0.3">
      <c r="A526" t="s">
        <v>13</v>
      </c>
      <c r="B526" t="s">
        <v>17</v>
      </c>
      <c r="C526" t="s">
        <v>35</v>
      </c>
      <c r="D526" t="s">
        <v>47</v>
      </c>
      <c r="E526" t="s">
        <v>50</v>
      </c>
      <c r="F526" t="s">
        <v>53</v>
      </c>
      <c r="G526">
        <v>423</v>
      </c>
      <c r="H526">
        <v>279.20999999999998</v>
      </c>
      <c r="I526">
        <v>118105.83</v>
      </c>
      <c r="J526">
        <v>90822.86</v>
      </c>
      <c r="K526">
        <v>27282.97</v>
      </c>
      <c r="L526" s="2">
        <v>45444</v>
      </c>
    </row>
    <row r="527" spans="1:12" x14ac:dyDescent="0.3">
      <c r="A527" t="s">
        <v>15</v>
      </c>
      <c r="B527" t="s">
        <v>29</v>
      </c>
      <c r="C527" t="s">
        <v>35</v>
      </c>
      <c r="D527" t="s">
        <v>44</v>
      </c>
      <c r="E527" t="s">
        <v>51</v>
      </c>
      <c r="F527" t="s">
        <v>55</v>
      </c>
      <c r="G527">
        <v>178</v>
      </c>
      <c r="H527">
        <v>66.62</v>
      </c>
      <c r="I527">
        <v>11858.36</v>
      </c>
      <c r="J527">
        <v>8138.81</v>
      </c>
      <c r="K527">
        <v>3719.55</v>
      </c>
      <c r="L527" s="2">
        <v>45444</v>
      </c>
    </row>
    <row r="528" spans="1:12" x14ac:dyDescent="0.3">
      <c r="A528" t="s">
        <v>16</v>
      </c>
      <c r="B528" t="s">
        <v>24</v>
      </c>
      <c r="C528" t="s">
        <v>35</v>
      </c>
      <c r="D528" t="s">
        <v>46</v>
      </c>
      <c r="E528" t="s">
        <v>51</v>
      </c>
      <c r="F528" t="s">
        <v>55</v>
      </c>
      <c r="G528">
        <v>24</v>
      </c>
      <c r="H528">
        <v>243.15</v>
      </c>
      <c r="I528">
        <v>5835.6</v>
      </c>
      <c r="J528">
        <v>4286.83</v>
      </c>
      <c r="K528">
        <v>1548.77</v>
      </c>
      <c r="L528" s="2">
        <v>45444</v>
      </c>
    </row>
    <row r="529" spans="1:12" x14ac:dyDescent="0.3">
      <c r="A529" t="s">
        <v>13</v>
      </c>
      <c r="B529" t="s">
        <v>26</v>
      </c>
      <c r="C529" t="s">
        <v>34</v>
      </c>
      <c r="D529" t="s">
        <v>38</v>
      </c>
      <c r="E529" t="s">
        <v>52</v>
      </c>
      <c r="F529" t="s">
        <v>55</v>
      </c>
      <c r="G529">
        <v>441</v>
      </c>
      <c r="H529">
        <v>91.4</v>
      </c>
      <c r="I529">
        <v>40307.4</v>
      </c>
      <c r="J529">
        <v>26270.27</v>
      </c>
      <c r="K529">
        <v>14037.13</v>
      </c>
      <c r="L529" s="2">
        <v>45444</v>
      </c>
    </row>
    <row r="530" spans="1:12" x14ac:dyDescent="0.3">
      <c r="A530" t="s">
        <v>14</v>
      </c>
      <c r="B530" t="s">
        <v>19</v>
      </c>
      <c r="C530" t="s">
        <v>35</v>
      </c>
      <c r="D530" t="s">
        <v>42</v>
      </c>
      <c r="E530" t="s">
        <v>49</v>
      </c>
      <c r="F530" t="s">
        <v>55</v>
      </c>
      <c r="G530">
        <v>23</v>
      </c>
      <c r="H530">
        <v>33.47</v>
      </c>
      <c r="I530">
        <v>769.81</v>
      </c>
      <c r="J530">
        <v>539.44000000000005</v>
      </c>
      <c r="K530">
        <v>230.37</v>
      </c>
      <c r="L530" s="2">
        <v>45444</v>
      </c>
    </row>
    <row r="531" spans="1:12" x14ac:dyDescent="0.3">
      <c r="A531" t="s">
        <v>16</v>
      </c>
      <c r="B531" t="s">
        <v>28</v>
      </c>
      <c r="C531" t="s">
        <v>34</v>
      </c>
      <c r="D531" t="s">
        <v>37</v>
      </c>
      <c r="E531" t="s">
        <v>49</v>
      </c>
      <c r="F531" t="s">
        <v>54</v>
      </c>
      <c r="G531">
        <v>351</v>
      </c>
      <c r="H531">
        <v>49.7</v>
      </c>
      <c r="I531">
        <v>17444.7</v>
      </c>
      <c r="J531">
        <v>14391.96</v>
      </c>
      <c r="K531">
        <v>3052.74</v>
      </c>
      <c r="L531" s="2">
        <v>45444</v>
      </c>
    </row>
    <row r="532" spans="1:12" x14ac:dyDescent="0.3">
      <c r="A532" t="s">
        <v>13</v>
      </c>
      <c r="B532" t="s">
        <v>27</v>
      </c>
      <c r="C532" t="s">
        <v>35</v>
      </c>
      <c r="D532" t="s">
        <v>46</v>
      </c>
      <c r="E532" t="s">
        <v>48</v>
      </c>
      <c r="F532" t="s">
        <v>55</v>
      </c>
      <c r="G532">
        <v>219</v>
      </c>
      <c r="H532">
        <v>81.78</v>
      </c>
      <c r="I532">
        <v>17909.82</v>
      </c>
      <c r="J532">
        <v>11474.89</v>
      </c>
      <c r="K532">
        <v>6434.93</v>
      </c>
      <c r="L532" s="2">
        <v>45444</v>
      </c>
    </row>
    <row r="533" spans="1:12" x14ac:dyDescent="0.3">
      <c r="A533" t="s">
        <v>14</v>
      </c>
      <c r="B533" t="s">
        <v>23</v>
      </c>
      <c r="C533" t="s">
        <v>34</v>
      </c>
      <c r="D533" t="s">
        <v>45</v>
      </c>
      <c r="E533" t="s">
        <v>51</v>
      </c>
      <c r="F533" t="s">
        <v>54</v>
      </c>
      <c r="G533">
        <v>440</v>
      </c>
      <c r="H533">
        <v>53.96</v>
      </c>
      <c r="I533">
        <v>23742.400000000001</v>
      </c>
      <c r="J533">
        <v>14429.07</v>
      </c>
      <c r="K533">
        <v>9313.33</v>
      </c>
      <c r="L533" s="2">
        <v>45474</v>
      </c>
    </row>
    <row r="534" spans="1:12" x14ac:dyDescent="0.3">
      <c r="A534" t="s">
        <v>16</v>
      </c>
      <c r="B534" t="s">
        <v>25</v>
      </c>
      <c r="C534" t="s">
        <v>35</v>
      </c>
      <c r="D534" t="s">
        <v>39</v>
      </c>
      <c r="E534" t="s">
        <v>50</v>
      </c>
      <c r="F534" t="s">
        <v>53</v>
      </c>
      <c r="G534">
        <v>416</v>
      </c>
      <c r="H534">
        <v>141.6</v>
      </c>
      <c r="I534">
        <v>58905.599999999999</v>
      </c>
      <c r="J534">
        <v>38819.53</v>
      </c>
      <c r="K534">
        <v>20086.07</v>
      </c>
      <c r="L534" s="2">
        <v>45474</v>
      </c>
    </row>
    <row r="535" spans="1:12" x14ac:dyDescent="0.3">
      <c r="A535" t="s">
        <v>15</v>
      </c>
      <c r="B535" t="s">
        <v>21</v>
      </c>
      <c r="C535" t="s">
        <v>35</v>
      </c>
      <c r="D535" t="s">
        <v>42</v>
      </c>
      <c r="E535" t="s">
        <v>50</v>
      </c>
      <c r="F535" t="s">
        <v>54</v>
      </c>
      <c r="G535">
        <v>219</v>
      </c>
      <c r="H535">
        <v>198.72</v>
      </c>
      <c r="I535">
        <v>43519.68</v>
      </c>
      <c r="J535">
        <v>35623.32</v>
      </c>
      <c r="K535">
        <v>7896.36</v>
      </c>
      <c r="L535" s="2">
        <v>45474</v>
      </c>
    </row>
    <row r="536" spans="1:12" x14ac:dyDescent="0.3">
      <c r="A536" t="s">
        <v>15</v>
      </c>
      <c r="B536" t="s">
        <v>31</v>
      </c>
      <c r="C536" t="s">
        <v>34</v>
      </c>
      <c r="D536" t="s">
        <v>36</v>
      </c>
      <c r="E536" t="s">
        <v>51</v>
      </c>
      <c r="F536" t="s">
        <v>53</v>
      </c>
      <c r="G536">
        <v>284</v>
      </c>
      <c r="H536">
        <v>101.23</v>
      </c>
      <c r="I536">
        <v>28749.32</v>
      </c>
      <c r="J536">
        <v>23052.86</v>
      </c>
      <c r="K536">
        <v>5696.46</v>
      </c>
      <c r="L536" s="2">
        <v>45474</v>
      </c>
    </row>
    <row r="537" spans="1:12" x14ac:dyDescent="0.3">
      <c r="A537" t="s">
        <v>16</v>
      </c>
      <c r="B537" t="s">
        <v>24</v>
      </c>
      <c r="C537" t="s">
        <v>34</v>
      </c>
      <c r="D537" t="s">
        <v>38</v>
      </c>
      <c r="E537" t="s">
        <v>51</v>
      </c>
      <c r="F537" t="s">
        <v>54</v>
      </c>
      <c r="G537">
        <v>465</v>
      </c>
      <c r="H537">
        <v>244.4</v>
      </c>
      <c r="I537">
        <v>113646</v>
      </c>
      <c r="J537">
        <v>75399.039999999994</v>
      </c>
      <c r="K537">
        <v>38246.959999999999</v>
      </c>
      <c r="L537" s="2">
        <v>45474</v>
      </c>
    </row>
    <row r="538" spans="1:12" x14ac:dyDescent="0.3">
      <c r="A538" t="s">
        <v>15</v>
      </c>
      <c r="B538" t="s">
        <v>20</v>
      </c>
      <c r="C538" t="s">
        <v>35</v>
      </c>
      <c r="D538" t="s">
        <v>46</v>
      </c>
      <c r="E538" t="s">
        <v>51</v>
      </c>
      <c r="F538" t="s">
        <v>54</v>
      </c>
      <c r="G538">
        <v>249</v>
      </c>
      <c r="H538">
        <v>96.05</v>
      </c>
      <c r="I538">
        <v>23916.45</v>
      </c>
      <c r="J538">
        <v>18645.439999999999</v>
      </c>
      <c r="K538">
        <v>5271.01</v>
      </c>
      <c r="L538" s="2">
        <v>45474</v>
      </c>
    </row>
    <row r="539" spans="1:12" x14ac:dyDescent="0.3">
      <c r="A539" t="s">
        <v>14</v>
      </c>
      <c r="B539" t="s">
        <v>18</v>
      </c>
      <c r="C539" t="s">
        <v>35</v>
      </c>
      <c r="D539" t="s">
        <v>39</v>
      </c>
      <c r="E539" t="s">
        <v>51</v>
      </c>
      <c r="F539" t="s">
        <v>53</v>
      </c>
      <c r="G539">
        <v>20</v>
      </c>
      <c r="H539">
        <v>272.08</v>
      </c>
      <c r="I539">
        <v>5441.6</v>
      </c>
      <c r="J539">
        <v>4610.6499999999996</v>
      </c>
      <c r="K539">
        <v>830.95</v>
      </c>
      <c r="L539" s="2">
        <v>45474</v>
      </c>
    </row>
    <row r="540" spans="1:12" x14ac:dyDescent="0.3">
      <c r="A540" t="s">
        <v>16</v>
      </c>
      <c r="B540" t="s">
        <v>25</v>
      </c>
      <c r="C540" t="s">
        <v>35</v>
      </c>
      <c r="D540" t="s">
        <v>41</v>
      </c>
      <c r="E540" t="s">
        <v>50</v>
      </c>
      <c r="F540" t="s">
        <v>55</v>
      </c>
      <c r="G540">
        <v>205</v>
      </c>
      <c r="H540">
        <v>175.27</v>
      </c>
      <c r="I540">
        <v>35930.35</v>
      </c>
      <c r="J540">
        <v>28407.06</v>
      </c>
      <c r="K540">
        <v>7523.29</v>
      </c>
      <c r="L540" s="2">
        <v>45474</v>
      </c>
    </row>
    <row r="541" spans="1:12" x14ac:dyDescent="0.3">
      <c r="A541" t="s">
        <v>14</v>
      </c>
      <c r="B541" t="s">
        <v>23</v>
      </c>
      <c r="C541" t="s">
        <v>34</v>
      </c>
      <c r="D541" t="s">
        <v>43</v>
      </c>
      <c r="E541" t="s">
        <v>49</v>
      </c>
      <c r="F541" t="s">
        <v>54</v>
      </c>
      <c r="G541">
        <v>12</v>
      </c>
      <c r="H541">
        <v>145.52000000000001</v>
      </c>
      <c r="I541">
        <v>1746.24</v>
      </c>
      <c r="J541">
        <v>1177.4000000000001</v>
      </c>
      <c r="K541">
        <v>568.84</v>
      </c>
      <c r="L541" s="2">
        <v>45474</v>
      </c>
    </row>
    <row r="542" spans="1:12" x14ac:dyDescent="0.3">
      <c r="A542" t="s">
        <v>14</v>
      </c>
      <c r="B542" t="s">
        <v>32</v>
      </c>
      <c r="C542" t="s">
        <v>35</v>
      </c>
      <c r="D542" t="s">
        <v>39</v>
      </c>
      <c r="E542" t="s">
        <v>50</v>
      </c>
      <c r="F542" t="s">
        <v>54</v>
      </c>
      <c r="G542">
        <v>123</v>
      </c>
      <c r="H542">
        <v>251.52</v>
      </c>
      <c r="I542">
        <v>30936.959999999999</v>
      </c>
      <c r="J542">
        <v>25570.07</v>
      </c>
      <c r="K542">
        <v>5366.89</v>
      </c>
      <c r="L542" s="2">
        <v>45474</v>
      </c>
    </row>
    <row r="543" spans="1:12" x14ac:dyDescent="0.3">
      <c r="A543" t="s">
        <v>13</v>
      </c>
      <c r="B543" t="s">
        <v>26</v>
      </c>
      <c r="C543" t="s">
        <v>34</v>
      </c>
      <c r="D543" t="s">
        <v>37</v>
      </c>
      <c r="E543" t="s">
        <v>52</v>
      </c>
      <c r="F543" t="s">
        <v>55</v>
      </c>
      <c r="G543">
        <v>417</v>
      </c>
      <c r="H543">
        <v>113.43</v>
      </c>
      <c r="I543">
        <v>47300.31</v>
      </c>
      <c r="J543">
        <v>37337.47</v>
      </c>
      <c r="K543">
        <v>9962.84</v>
      </c>
      <c r="L543" s="2">
        <v>45474</v>
      </c>
    </row>
    <row r="544" spans="1:12" x14ac:dyDescent="0.3">
      <c r="A544" t="s">
        <v>16</v>
      </c>
      <c r="B544" t="s">
        <v>28</v>
      </c>
      <c r="C544" t="s">
        <v>34</v>
      </c>
      <c r="D544" t="s">
        <v>45</v>
      </c>
      <c r="E544" t="s">
        <v>49</v>
      </c>
      <c r="F544" t="s">
        <v>54</v>
      </c>
      <c r="G544">
        <v>442</v>
      </c>
      <c r="H544">
        <v>155.99</v>
      </c>
      <c r="I544">
        <v>68947.58</v>
      </c>
      <c r="J544">
        <v>53268.81</v>
      </c>
      <c r="K544">
        <v>15678.77</v>
      </c>
      <c r="L544" s="2">
        <v>45474</v>
      </c>
    </row>
    <row r="545" spans="1:12" x14ac:dyDescent="0.3">
      <c r="A545" t="s">
        <v>14</v>
      </c>
      <c r="B545" t="s">
        <v>32</v>
      </c>
      <c r="C545" t="s">
        <v>34</v>
      </c>
      <c r="D545" t="s">
        <v>37</v>
      </c>
      <c r="E545" t="s">
        <v>48</v>
      </c>
      <c r="F545" t="s">
        <v>55</v>
      </c>
      <c r="G545">
        <v>14</v>
      </c>
      <c r="H545">
        <v>78.349999999999994</v>
      </c>
      <c r="I545">
        <v>1096.9000000000001</v>
      </c>
      <c r="J545">
        <v>831.93</v>
      </c>
      <c r="K545">
        <v>264.97000000000003</v>
      </c>
      <c r="L545" s="2">
        <v>45474</v>
      </c>
    </row>
    <row r="546" spans="1:12" x14ac:dyDescent="0.3">
      <c r="A546" t="s">
        <v>14</v>
      </c>
      <c r="B546" t="s">
        <v>18</v>
      </c>
      <c r="C546" t="s">
        <v>34</v>
      </c>
      <c r="D546" t="s">
        <v>45</v>
      </c>
      <c r="E546" t="s">
        <v>51</v>
      </c>
      <c r="F546" t="s">
        <v>54</v>
      </c>
      <c r="G546">
        <v>21</v>
      </c>
      <c r="H546">
        <v>110.8</v>
      </c>
      <c r="I546">
        <v>2326.8000000000002</v>
      </c>
      <c r="J546">
        <v>1782.86</v>
      </c>
      <c r="K546">
        <v>543.94000000000005</v>
      </c>
      <c r="L546" s="2">
        <v>45474</v>
      </c>
    </row>
    <row r="547" spans="1:12" x14ac:dyDescent="0.3">
      <c r="A547" t="s">
        <v>13</v>
      </c>
      <c r="B547" t="s">
        <v>17</v>
      </c>
      <c r="C547" t="s">
        <v>35</v>
      </c>
      <c r="D547" t="s">
        <v>40</v>
      </c>
      <c r="E547" t="s">
        <v>52</v>
      </c>
      <c r="F547" t="s">
        <v>54</v>
      </c>
      <c r="G547">
        <v>48</v>
      </c>
      <c r="H547">
        <v>103.4</v>
      </c>
      <c r="I547">
        <v>4963.2</v>
      </c>
      <c r="J547">
        <v>3240.28</v>
      </c>
      <c r="K547">
        <v>1722.92</v>
      </c>
      <c r="L547" s="2">
        <v>45474</v>
      </c>
    </row>
    <row r="548" spans="1:12" x14ac:dyDescent="0.3">
      <c r="A548" t="s">
        <v>15</v>
      </c>
      <c r="B548" t="s">
        <v>33</v>
      </c>
      <c r="C548" t="s">
        <v>34</v>
      </c>
      <c r="D548" t="s">
        <v>45</v>
      </c>
      <c r="E548" t="s">
        <v>51</v>
      </c>
      <c r="F548" t="s">
        <v>54</v>
      </c>
      <c r="G548">
        <v>150</v>
      </c>
      <c r="H548">
        <v>228.49</v>
      </c>
      <c r="I548">
        <v>34273.5</v>
      </c>
      <c r="J548">
        <v>27152.52</v>
      </c>
      <c r="K548">
        <v>7120.98</v>
      </c>
      <c r="L548" s="2">
        <v>45474</v>
      </c>
    </row>
    <row r="549" spans="1:12" x14ac:dyDescent="0.3">
      <c r="A549" t="s">
        <v>14</v>
      </c>
      <c r="B549" t="s">
        <v>32</v>
      </c>
      <c r="C549" t="s">
        <v>35</v>
      </c>
      <c r="D549" t="s">
        <v>39</v>
      </c>
      <c r="E549" t="s">
        <v>49</v>
      </c>
      <c r="F549" t="s">
        <v>54</v>
      </c>
      <c r="G549">
        <v>275</v>
      </c>
      <c r="H549">
        <v>180.6</v>
      </c>
      <c r="I549">
        <v>49665</v>
      </c>
      <c r="J549">
        <v>42207.22</v>
      </c>
      <c r="K549">
        <v>7457.78</v>
      </c>
      <c r="L549" s="2">
        <v>45474</v>
      </c>
    </row>
    <row r="550" spans="1:12" x14ac:dyDescent="0.3">
      <c r="A550" t="s">
        <v>15</v>
      </c>
      <c r="B550" t="s">
        <v>20</v>
      </c>
      <c r="C550" t="s">
        <v>34</v>
      </c>
      <c r="D550" t="s">
        <v>43</v>
      </c>
      <c r="E550" t="s">
        <v>52</v>
      </c>
      <c r="F550" t="s">
        <v>54</v>
      </c>
      <c r="G550">
        <v>260</v>
      </c>
      <c r="H550">
        <v>47.73</v>
      </c>
      <c r="I550">
        <v>12409.8</v>
      </c>
      <c r="J550">
        <v>9798.35</v>
      </c>
      <c r="K550">
        <v>2611.4499999999998</v>
      </c>
      <c r="L550" s="2">
        <v>45474</v>
      </c>
    </row>
    <row r="551" spans="1:12" x14ac:dyDescent="0.3">
      <c r="A551" t="s">
        <v>15</v>
      </c>
      <c r="B551" t="s">
        <v>31</v>
      </c>
      <c r="C551" t="s">
        <v>35</v>
      </c>
      <c r="D551" t="s">
        <v>39</v>
      </c>
      <c r="E551" t="s">
        <v>52</v>
      </c>
      <c r="F551" t="s">
        <v>55</v>
      </c>
      <c r="G551">
        <v>240</v>
      </c>
      <c r="H551">
        <v>148.16999999999999</v>
      </c>
      <c r="I551">
        <v>35560.800000000003</v>
      </c>
      <c r="J551">
        <v>23345.919999999998</v>
      </c>
      <c r="K551">
        <v>12214.88</v>
      </c>
      <c r="L551" s="2">
        <v>45474</v>
      </c>
    </row>
    <row r="552" spans="1:12" x14ac:dyDescent="0.3">
      <c r="A552" t="s">
        <v>16</v>
      </c>
      <c r="B552" t="s">
        <v>24</v>
      </c>
      <c r="C552" t="s">
        <v>35</v>
      </c>
      <c r="D552" t="s">
        <v>39</v>
      </c>
      <c r="E552" t="s">
        <v>48</v>
      </c>
      <c r="F552" t="s">
        <v>54</v>
      </c>
      <c r="G552">
        <v>122</v>
      </c>
      <c r="H552">
        <v>163.65</v>
      </c>
      <c r="I552">
        <v>19965.3</v>
      </c>
      <c r="J552">
        <v>15509.2</v>
      </c>
      <c r="K552">
        <v>4456.1000000000004</v>
      </c>
      <c r="L552" s="2">
        <v>45474</v>
      </c>
    </row>
    <row r="553" spans="1:12" x14ac:dyDescent="0.3">
      <c r="A553" t="s">
        <v>16</v>
      </c>
      <c r="B553" t="s">
        <v>24</v>
      </c>
      <c r="C553" t="s">
        <v>34</v>
      </c>
      <c r="D553" t="s">
        <v>37</v>
      </c>
      <c r="E553" t="s">
        <v>49</v>
      </c>
      <c r="F553" t="s">
        <v>55</v>
      </c>
      <c r="G553">
        <v>482</v>
      </c>
      <c r="H553">
        <v>261.89999999999998</v>
      </c>
      <c r="I553">
        <v>126235.8</v>
      </c>
      <c r="J553">
        <v>100250.06</v>
      </c>
      <c r="K553">
        <v>25985.74</v>
      </c>
      <c r="L553" s="2">
        <v>45474</v>
      </c>
    </row>
    <row r="554" spans="1:12" x14ac:dyDescent="0.3">
      <c r="A554" t="s">
        <v>13</v>
      </c>
      <c r="B554" t="s">
        <v>27</v>
      </c>
      <c r="C554" t="s">
        <v>34</v>
      </c>
      <c r="D554" t="s">
        <v>45</v>
      </c>
      <c r="E554" t="s">
        <v>51</v>
      </c>
      <c r="F554" t="s">
        <v>55</v>
      </c>
      <c r="G554">
        <v>332</v>
      </c>
      <c r="H554">
        <v>159.54</v>
      </c>
      <c r="I554">
        <v>52967.28</v>
      </c>
      <c r="J554">
        <v>37915.22</v>
      </c>
      <c r="K554">
        <v>15052.06</v>
      </c>
      <c r="L554" s="2">
        <v>45474</v>
      </c>
    </row>
    <row r="555" spans="1:12" x14ac:dyDescent="0.3">
      <c r="A555" t="s">
        <v>14</v>
      </c>
      <c r="B555" t="s">
        <v>32</v>
      </c>
      <c r="C555" t="s">
        <v>34</v>
      </c>
      <c r="D555" t="s">
        <v>43</v>
      </c>
      <c r="E555" t="s">
        <v>50</v>
      </c>
      <c r="F555" t="s">
        <v>54</v>
      </c>
      <c r="G555">
        <v>26</v>
      </c>
      <c r="H555">
        <v>201.02</v>
      </c>
      <c r="I555">
        <v>5226.5200000000004</v>
      </c>
      <c r="J555">
        <v>4367.84</v>
      </c>
      <c r="K555">
        <v>858.68</v>
      </c>
      <c r="L555" s="2">
        <v>45474</v>
      </c>
    </row>
    <row r="556" spans="1:12" x14ac:dyDescent="0.3">
      <c r="A556" t="s">
        <v>13</v>
      </c>
      <c r="B556" t="s">
        <v>26</v>
      </c>
      <c r="C556" t="s">
        <v>34</v>
      </c>
      <c r="D556" t="s">
        <v>45</v>
      </c>
      <c r="E556" t="s">
        <v>51</v>
      </c>
      <c r="F556" t="s">
        <v>55</v>
      </c>
      <c r="G556">
        <v>490</v>
      </c>
      <c r="H556">
        <v>77.34</v>
      </c>
      <c r="I556">
        <v>37896.6</v>
      </c>
      <c r="J556">
        <v>31260.66</v>
      </c>
      <c r="K556">
        <v>6635.94</v>
      </c>
      <c r="L556" s="2">
        <v>45474</v>
      </c>
    </row>
    <row r="557" spans="1:12" x14ac:dyDescent="0.3">
      <c r="A557" t="s">
        <v>16</v>
      </c>
      <c r="B557" t="s">
        <v>25</v>
      </c>
      <c r="C557" t="s">
        <v>35</v>
      </c>
      <c r="D557" t="s">
        <v>42</v>
      </c>
      <c r="E557" t="s">
        <v>51</v>
      </c>
      <c r="F557" t="s">
        <v>53</v>
      </c>
      <c r="G557">
        <v>22</v>
      </c>
      <c r="H557">
        <v>182.14</v>
      </c>
      <c r="I557">
        <v>4007.08</v>
      </c>
      <c r="J557">
        <v>3084.55</v>
      </c>
      <c r="K557">
        <v>922.53</v>
      </c>
      <c r="L557" s="2">
        <v>45474</v>
      </c>
    </row>
    <row r="558" spans="1:12" x14ac:dyDescent="0.3">
      <c r="A558" t="s">
        <v>16</v>
      </c>
      <c r="B558" t="s">
        <v>25</v>
      </c>
      <c r="C558" t="s">
        <v>34</v>
      </c>
      <c r="D558" t="s">
        <v>45</v>
      </c>
      <c r="E558" t="s">
        <v>52</v>
      </c>
      <c r="F558" t="s">
        <v>53</v>
      </c>
      <c r="G558">
        <v>223</v>
      </c>
      <c r="H558">
        <v>64.47</v>
      </c>
      <c r="I558">
        <v>14376.81</v>
      </c>
      <c r="J558">
        <v>11213.16</v>
      </c>
      <c r="K558">
        <v>3163.65</v>
      </c>
      <c r="L558" s="2">
        <v>45474</v>
      </c>
    </row>
    <row r="559" spans="1:12" x14ac:dyDescent="0.3">
      <c r="A559" t="s">
        <v>15</v>
      </c>
      <c r="B559" t="s">
        <v>31</v>
      </c>
      <c r="C559" t="s">
        <v>35</v>
      </c>
      <c r="D559" t="s">
        <v>47</v>
      </c>
      <c r="E559" t="s">
        <v>51</v>
      </c>
      <c r="F559" t="s">
        <v>54</v>
      </c>
      <c r="G559">
        <v>139</v>
      </c>
      <c r="H559">
        <v>136.9</v>
      </c>
      <c r="I559">
        <v>19029.099999999999</v>
      </c>
      <c r="J559">
        <v>12629</v>
      </c>
      <c r="K559">
        <v>6400.1</v>
      </c>
      <c r="L559" s="2">
        <v>45474</v>
      </c>
    </row>
    <row r="560" spans="1:12" x14ac:dyDescent="0.3">
      <c r="A560" t="s">
        <v>15</v>
      </c>
      <c r="B560" t="s">
        <v>33</v>
      </c>
      <c r="C560" t="s">
        <v>35</v>
      </c>
      <c r="D560" t="s">
        <v>46</v>
      </c>
      <c r="E560" t="s">
        <v>49</v>
      </c>
      <c r="F560" t="s">
        <v>55</v>
      </c>
      <c r="G560">
        <v>314</v>
      </c>
      <c r="H560">
        <v>194.58</v>
      </c>
      <c r="I560">
        <v>61098.12</v>
      </c>
      <c r="J560">
        <v>38934.769999999997</v>
      </c>
      <c r="K560">
        <v>22163.35</v>
      </c>
      <c r="L560" s="2">
        <v>45474</v>
      </c>
    </row>
    <row r="561" spans="1:12" x14ac:dyDescent="0.3">
      <c r="A561" t="s">
        <v>16</v>
      </c>
      <c r="B561" t="s">
        <v>25</v>
      </c>
      <c r="C561" t="s">
        <v>35</v>
      </c>
      <c r="D561" t="s">
        <v>42</v>
      </c>
      <c r="E561" t="s">
        <v>52</v>
      </c>
      <c r="F561" t="s">
        <v>53</v>
      </c>
      <c r="G561">
        <v>345</v>
      </c>
      <c r="H561">
        <v>282.55</v>
      </c>
      <c r="I561">
        <v>97479.75</v>
      </c>
      <c r="J561">
        <v>76348.55</v>
      </c>
      <c r="K561">
        <v>21131.200000000001</v>
      </c>
      <c r="L561" s="2">
        <v>45474</v>
      </c>
    </row>
    <row r="562" spans="1:12" x14ac:dyDescent="0.3">
      <c r="A562" t="s">
        <v>15</v>
      </c>
      <c r="B562" t="s">
        <v>29</v>
      </c>
      <c r="C562" t="s">
        <v>35</v>
      </c>
      <c r="D562" t="s">
        <v>41</v>
      </c>
      <c r="E562" t="s">
        <v>49</v>
      </c>
      <c r="F562" t="s">
        <v>53</v>
      </c>
      <c r="G562">
        <v>346</v>
      </c>
      <c r="H562">
        <v>279.58999999999997</v>
      </c>
      <c r="I562">
        <v>96738.14</v>
      </c>
      <c r="J562">
        <v>76969.259999999995</v>
      </c>
      <c r="K562">
        <v>19768.88</v>
      </c>
      <c r="L562" s="2">
        <v>45474</v>
      </c>
    </row>
    <row r="563" spans="1:12" x14ac:dyDescent="0.3">
      <c r="A563" t="s">
        <v>16</v>
      </c>
      <c r="B563" t="s">
        <v>24</v>
      </c>
      <c r="C563" t="s">
        <v>35</v>
      </c>
      <c r="D563" t="s">
        <v>41</v>
      </c>
      <c r="E563" t="s">
        <v>49</v>
      </c>
      <c r="F563" t="s">
        <v>54</v>
      </c>
      <c r="G563">
        <v>218</v>
      </c>
      <c r="H563">
        <v>87.92</v>
      </c>
      <c r="I563">
        <v>19166.560000000001</v>
      </c>
      <c r="J563">
        <v>14095.25</v>
      </c>
      <c r="K563">
        <v>5071.3100000000004</v>
      </c>
      <c r="L563" s="2">
        <v>45474</v>
      </c>
    </row>
    <row r="564" spans="1:12" x14ac:dyDescent="0.3">
      <c r="A564" t="s">
        <v>16</v>
      </c>
      <c r="B564" t="s">
        <v>24</v>
      </c>
      <c r="C564" t="s">
        <v>35</v>
      </c>
      <c r="D564" t="s">
        <v>42</v>
      </c>
      <c r="E564" t="s">
        <v>50</v>
      </c>
      <c r="F564" t="s">
        <v>54</v>
      </c>
      <c r="G564">
        <v>333</v>
      </c>
      <c r="H564">
        <v>217.51</v>
      </c>
      <c r="I564">
        <v>72430.83</v>
      </c>
      <c r="J564">
        <v>54125.9</v>
      </c>
      <c r="K564">
        <v>18304.93</v>
      </c>
      <c r="L564" s="2">
        <v>45474</v>
      </c>
    </row>
    <row r="565" spans="1:12" x14ac:dyDescent="0.3">
      <c r="A565" t="s">
        <v>15</v>
      </c>
      <c r="B565" t="s">
        <v>31</v>
      </c>
      <c r="C565" t="s">
        <v>35</v>
      </c>
      <c r="D565" t="s">
        <v>42</v>
      </c>
      <c r="E565" t="s">
        <v>51</v>
      </c>
      <c r="F565" t="s">
        <v>54</v>
      </c>
      <c r="G565">
        <v>282</v>
      </c>
      <c r="H565">
        <v>180.58</v>
      </c>
      <c r="I565">
        <v>50923.56</v>
      </c>
      <c r="J565">
        <v>36677.35</v>
      </c>
      <c r="K565">
        <v>14246.21</v>
      </c>
      <c r="L565" s="2">
        <v>45474</v>
      </c>
    </row>
    <row r="566" spans="1:12" x14ac:dyDescent="0.3">
      <c r="A566" t="s">
        <v>14</v>
      </c>
      <c r="B566" t="s">
        <v>23</v>
      </c>
      <c r="C566" t="s">
        <v>35</v>
      </c>
      <c r="D566" t="s">
        <v>41</v>
      </c>
      <c r="E566" t="s">
        <v>52</v>
      </c>
      <c r="F566" t="s">
        <v>54</v>
      </c>
      <c r="G566">
        <v>158</v>
      </c>
      <c r="H566">
        <v>230.12</v>
      </c>
      <c r="I566">
        <v>36358.959999999999</v>
      </c>
      <c r="J566">
        <v>28397.29</v>
      </c>
      <c r="K566">
        <v>7961.67</v>
      </c>
      <c r="L566" s="2">
        <v>45474</v>
      </c>
    </row>
    <row r="567" spans="1:12" x14ac:dyDescent="0.3">
      <c r="A567" t="s">
        <v>13</v>
      </c>
      <c r="B567" t="s">
        <v>26</v>
      </c>
      <c r="C567" t="s">
        <v>35</v>
      </c>
      <c r="D567" t="s">
        <v>42</v>
      </c>
      <c r="E567" t="s">
        <v>51</v>
      </c>
      <c r="F567" t="s">
        <v>54</v>
      </c>
      <c r="G567">
        <v>192</v>
      </c>
      <c r="H567">
        <v>263.52</v>
      </c>
      <c r="I567">
        <v>50595.839999999997</v>
      </c>
      <c r="J567">
        <v>36600.35</v>
      </c>
      <c r="K567">
        <v>13995.49</v>
      </c>
      <c r="L567" s="2">
        <v>45474</v>
      </c>
    </row>
    <row r="568" spans="1:12" x14ac:dyDescent="0.3">
      <c r="A568" t="s">
        <v>14</v>
      </c>
      <c r="B568" t="s">
        <v>19</v>
      </c>
      <c r="C568" t="s">
        <v>34</v>
      </c>
      <c r="D568" t="s">
        <v>37</v>
      </c>
      <c r="E568" t="s">
        <v>49</v>
      </c>
      <c r="F568" t="s">
        <v>53</v>
      </c>
      <c r="G568">
        <v>275</v>
      </c>
      <c r="H568">
        <v>36.590000000000003</v>
      </c>
      <c r="I568">
        <v>10062.25</v>
      </c>
      <c r="J568">
        <v>6883.51</v>
      </c>
      <c r="K568">
        <v>3178.74</v>
      </c>
      <c r="L568" s="2">
        <v>45474</v>
      </c>
    </row>
    <row r="569" spans="1:12" x14ac:dyDescent="0.3">
      <c r="A569" t="s">
        <v>16</v>
      </c>
      <c r="B569" t="s">
        <v>28</v>
      </c>
      <c r="C569" t="s">
        <v>35</v>
      </c>
      <c r="D569" t="s">
        <v>39</v>
      </c>
      <c r="E569" t="s">
        <v>50</v>
      </c>
      <c r="F569" t="s">
        <v>55</v>
      </c>
      <c r="G569">
        <v>176</v>
      </c>
      <c r="H569">
        <v>203.59</v>
      </c>
      <c r="I569">
        <v>35831.839999999997</v>
      </c>
      <c r="J569">
        <v>22354.91</v>
      </c>
      <c r="K569">
        <v>13476.93</v>
      </c>
      <c r="L569" s="2">
        <v>45505</v>
      </c>
    </row>
    <row r="570" spans="1:12" x14ac:dyDescent="0.3">
      <c r="A570" t="s">
        <v>14</v>
      </c>
      <c r="B570" t="s">
        <v>19</v>
      </c>
      <c r="C570" t="s">
        <v>34</v>
      </c>
      <c r="D570" t="s">
        <v>38</v>
      </c>
      <c r="E570" t="s">
        <v>52</v>
      </c>
      <c r="F570" t="s">
        <v>55</v>
      </c>
      <c r="G570">
        <v>138</v>
      </c>
      <c r="H570">
        <v>131.15</v>
      </c>
      <c r="I570">
        <v>18098.7</v>
      </c>
      <c r="J570">
        <v>15312</v>
      </c>
      <c r="K570">
        <v>2786.7</v>
      </c>
      <c r="L570" s="2">
        <v>45505</v>
      </c>
    </row>
    <row r="571" spans="1:12" x14ac:dyDescent="0.3">
      <c r="A571" t="s">
        <v>16</v>
      </c>
      <c r="B571" t="s">
        <v>25</v>
      </c>
      <c r="C571" t="s">
        <v>34</v>
      </c>
      <c r="D571" t="s">
        <v>45</v>
      </c>
      <c r="E571" t="s">
        <v>49</v>
      </c>
      <c r="F571" t="s">
        <v>53</v>
      </c>
      <c r="G571">
        <v>274</v>
      </c>
      <c r="H571">
        <v>120.14</v>
      </c>
      <c r="I571">
        <v>32918.36</v>
      </c>
      <c r="J571">
        <v>26855.9</v>
      </c>
      <c r="K571">
        <v>6062.46</v>
      </c>
      <c r="L571" s="2">
        <v>45505</v>
      </c>
    </row>
    <row r="572" spans="1:12" x14ac:dyDescent="0.3">
      <c r="A572" t="s">
        <v>13</v>
      </c>
      <c r="B572" t="s">
        <v>27</v>
      </c>
      <c r="C572" t="s">
        <v>35</v>
      </c>
      <c r="D572" t="s">
        <v>44</v>
      </c>
      <c r="E572" t="s">
        <v>52</v>
      </c>
      <c r="F572" t="s">
        <v>55</v>
      </c>
      <c r="G572">
        <v>188</v>
      </c>
      <c r="H572">
        <v>35.89</v>
      </c>
      <c r="I572">
        <v>6747.32</v>
      </c>
      <c r="J572">
        <v>5207.28</v>
      </c>
      <c r="K572">
        <v>1540.04</v>
      </c>
      <c r="L572" s="2">
        <v>45505</v>
      </c>
    </row>
    <row r="573" spans="1:12" x14ac:dyDescent="0.3">
      <c r="A573" t="s">
        <v>16</v>
      </c>
      <c r="B573" t="s">
        <v>25</v>
      </c>
      <c r="C573" t="s">
        <v>35</v>
      </c>
      <c r="D573" t="s">
        <v>40</v>
      </c>
      <c r="E573" t="s">
        <v>48</v>
      </c>
      <c r="F573" t="s">
        <v>55</v>
      </c>
      <c r="G573">
        <v>64</v>
      </c>
      <c r="H573">
        <v>55.28</v>
      </c>
      <c r="I573">
        <v>3537.92</v>
      </c>
      <c r="J573">
        <v>2756.02</v>
      </c>
      <c r="K573">
        <v>781.9</v>
      </c>
      <c r="L573" s="2">
        <v>45505</v>
      </c>
    </row>
    <row r="574" spans="1:12" x14ac:dyDescent="0.3">
      <c r="A574" t="s">
        <v>15</v>
      </c>
      <c r="B574" t="s">
        <v>20</v>
      </c>
      <c r="C574" t="s">
        <v>35</v>
      </c>
      <c r="D574" t="s">
        <v>41</v>
      </c>
      <c r="E574" t="s">
        <v>48</v>
      </c>
      <c r="F574" t="s">
        <v>55</v>
      </c>
      <c r="G574">
        <v>399</v>
      </c>
      <c r="H574">
        <v>106.87</v>
      </c>
      <c r="I574">
        <v>42641.13</v>
      </c>
      <c r="J574">
        <v>33395.46</v>
      </c>
      <c r="K574">
        <v>9245.67</v>
      </c>
      <c r="L574" s="2">
        <v>45505</v>
      </c>
    </row>
    <row r="575" spans="1:12" x14ac:dyDescent="0.3">
      <c r="A575" t="s">
        <v>14</v>
      </c>
      <c r="B575" t="s">
        <v>18</v>
      </c>
      <c r="C575" t="s">
        <v>34</v>
      </c>
      <c r="D575" t="s">
        <v>43</v>
      </c>
      <c r="E575" t="s">
        <v>49</v>
      </c>
      <c r="F575" t="s">
        <v>53</v>
      </c>
      <c r="G575">
        <v>361</v>
      </c>
      <c r="H575">
        <v>152.66</v>
      </c>
      <c r="I575">
        <v>55110.26</v>
      </c>
      <c r="J575">
        <v>37233.15</v>
      </c>
      <c r="K575">
        <v>17877.11</v>
      </c>
      <c r="L575" s="2">
        <v>45505</v>
      </c>
    </row>
    <row r="576" spans="1:12" x14ac:dyDescent="0.3">
      <c r="A576" t="s">
        <v>15</v>
      </c>
      <c r="B576" t="s">
        <v>31</v>
      </c>
      <c r="C576" t="s">
        <v>34</v>
      </c>
      <c r="D576" t="s">
        <v>36</v>
      </c>
      <c r="E576" t="s">
        <v>49</v>
      </c>
      <c r="F576" t="s">
        <v>54</v>
      </c>
      <c r="G576">
        <v>229</v>
      </c>
      <c r="H576">
        <v>276.04000000000002</v>
      </c>
      <c r="I576">
        <v>63213.16</v>
      </c>
      <c r="J576">
        <v>38011.65</v>
      </c>
      <c r="K576">
        <v>25201.51</v>
      </c>
      <c r="L576" s="2">
        <v>45505</v>
      </c>
    </row>
    <row r="577" spans="1:12" x14ac:dyDescent="0.3">
      <c r="A577" t="s">
        <v>14</v>
      </c>
      <c r="B577" t="s">
        <v>18</v>
      </c>
      <c r="C577" t="s">
        <v>34</v>
      </c>
      <c r="D577" t="s">
        <v>36</v>
      </c>
      <c r="E577" t="s">
        <v>48</v>
      </c>
      <c r="F577" t="s">
        <v>53</v>
      </c>
      <c r="G577">
        <v>494</v>
      </c>
      <c r="H577">
        <v>194.03</v>
      </c>
      <c r="I577">
        <v>95850.82</v>
      </c>
      <c r="J577">
        <v>76630.67</v>
      </c>
      <c r="K577">
        <v>19220.150000000001</v>
      </c>
      <c r="L577" s="2">
        <v>45505</v>
      </c>
    </row>
    <row r="578" spans="1:12" x14ac:dyDescent="0.3">
      <c r="A578" t="s">
        <v>16</v>
      </c>
      <c r="B578" t="s">
        <v>25</v>
      </c>
      <c r="C578" t="s">
        <v>35</v>
      </c>
      <c r="D578" t="s">
        <v>39</v>
      </c>
      <c r="E578" t="s">
        <v>52</v>
      </c>
      <c r="F578" t="s">
        <v>54</v>
      </c>
      <c r="G578">
        <v>232</v>
      </c>
      <c r="H578">
        <v>145.32</v>
      </c>
      <c r="I578">
        <v>33714.239999999998</v>
      </c>
      <c r="J578">
        <v>27112.34</v>
      </c>
      <c r="K578">
        <v>6601.9</v>
      </c>
      <c r="L578" s="2">
        <v>45505</v>
      </c>
    </row>
    <row r="579" spans="1:12" x14ac:dyDescent="0.3">
      <c r="A579" t="s">
        <v>16</v>
      </c>
      <c r="B579" t="s">
        <v>25</v>
      </c>
      <c r="C579" t="s">
        <v>34</v>
      </c>
      <c r="D579" t="s">
        <v>37</v>
      </c>
      <c r="E579" t="s">
        <v>48</v>
      </c>
      <c r="F579" t="s">
        <v>54</v>
      </c>
      <c r="G579">
        <v>298</v>
      </c>
      <c r="H579">
        <v>161.78</v>
      </c>
      <c r="I579">
        <v>48210.44</v>
      </c>
      <c r="J579">
        <v>30309.53</v>
      </c>
      <c r="K579">
        <v>17900.91</v>
      </c>
      <c r="L579" s="2">
        <v>45505</v>
      </c>
    </row>
    <row r="580" spans="1:12" x14ac:dyDescent="0.3">
      <c r="A580" t="s">
        <v>13</v>
      </c>
      <c r="B580" t="s">
        <v>30</v>
      </c>
      <c r="C580" t="s">
        <v>35</v>
      </c>
      <c r="D580" t="s">
        <v>39</v>
      </c>
      <c r="E580" t="s">
        <v>52</v>
      </c>
      <c r="F580" t="s">
        <v>55</v>
      </c>
      <c r="G580">
        <v>434</v>
      </c>
      <c r="H580">
        <v>132.38999999999999</v>
      </c>
      <c r="I580">
        <v>57457.26</v>
      </c>
      <c r="J580">
        <v>38712.410000000003</v>
      </c>
      <c r="K580">
        <v>18744.849999999999</v>
      </c>
      <c r="L580" s="2">
        <v>45505</v>
      </c>
    </row>
    <row r="581" spans="1:12" x14ac:dyDescent="0.3">
      <c r="A581" t="s">
        <v>15</v>
      </c>
      <c r="B581" t="s">
        <v>29</v>
      </c>
      <c r="C581" t="s">
        <v>35</v>
      </c>
      <c r="D581" t="s">
        <v>44</v>
      </c>
      <c r="E581" t="s">
        <v>52</v>
      </c>
      <c r="F581" t="s">
        <v>53</v>
      </c>
      <c r="G581">
        <v>347</v>
      </c>
      <c r="H581">
        <v>84.44</v>
      </c>
      <c r="I581">
        <v>29300.68</v>
      </c>
      <c r="J581">
        <v>22453.79</v>
      </c>
      <c r="K581">
        <v>6846.89</v>
      </c>
      <c r="L581" s="2">
        <v>45505</v>
      </c>
    </row>
    <row r="582" spans="1:12" x14ac:dyDescent="0.3">
      <c r="A582" t="s">
        <v>15</v>
      </c>
      <c r="B582" t="s">
        <v>33</v>
      </c>
      <c r="C582" t="s">
        <v>35</v>
      </c>
      <c r="D582" t="s">
        <v>41</v>
      </c>
      <c r="E582" t="s">
        <v>52</v>
      </c>
      <c r="F582" t="s">
        <v>53</v>
      </c>
      <c r="G582">
        <v>282</v>
      </c>
      <c r="H582">
        <v>77.47</v>
      </c>
      <c r="I582">
        <v>21846.54</v>
      </c>
      <c r="J582">
        <v>14313.87</v>
      </c>
      <c r="K582">
        <v>7532.67</v>
      </c>
      <c r="L582" s="2">
        <v>45505</v>
      </c>
    </row>
    <row r="583" spans="1:12" x14ac:dyDescent="0.3">
      <c r="A583" t="s">
        <v>13</v>
      </c>
      <c r="B583" t="s">
        <v>27</v>
      </c>
      <c r="C583" t="s">
        <v>34</v>
      </c>
      <c r="D583" t="s">
        <v>36</v>
      </c>
      <c r="E583" t="s">
        <v>50</v>
      </c>
      <c r="F583" t="s">
        <v>53</v>
      </c>
      <c r="G583">
        <v>71</v>
      </c>
      <c r="H583">
        <v>240.43</v>
      </c>
      <c r="I583">
        <v>17070.53</v>
      </c>
      <c r="J583">
        <v>10390.280000000001</v>
      </c>
      <c r="K583">
        <v>6680.25</v>
      </c>
      <c r="L583" s="2">
        <v>45505</v>
      </c>
    </row>
    <row r="584" spans="1:12" x14ac:dyDescent="0.3">
      <c r="A584" t="s">
        <v>14</v>
      </c>
      <c r="B584" t="s">
        <v>19</v>
      </c>
      <c r="C584" t="s">
        <v>34</v>
      </c>
      <c r="D584" t="s">
        <v>36</v>
      </c>
      <c r="E584" t="s">
        <v>51</v>
      </c>
      <c r="F584" t="s">
        <v>54</v>
      </c>
      <c r="G584">
        <v>464</v>
      </c>
      <c r="H584">
        <v>166.97</v>
      </c>
      <c r="I584">
        <v>77474.080000000002</v>
      </c>
      <c r="J584">
        <v>65136.18</v>
      </c>
      <c r="K584">
        <v>12337.9</v>
      </c>
      <c r="L584" s="2">
        <v>45505</v>
      </c>
    </row>
    <row r="585" spans="1:12" x14ac:dyDescent="0.3">
      <c r="A585" t="s">
        <v>16</v>
      </c>
      <c r="B585" t="s">
        <v>22</v>
      </c>
      <c r="C585" t="s">
        <v>34</v>
      </c>
      <c r="D585" t="s">
        <v>37</v>
      </c>
      <c r="E585" t="s">
        <v>50</v>
      </c>
      <c r="F585" t="s">
        <v>53</v>
      </c>
      <c r="G585">
        <v>301</v>
      </c>
      <c r="H585">
        <v>97.91</v>
      </c>
      <c r="I585">
        <v>29470.91</v>
      </c>
      <c r="J585">
        <v>19621.09</v>
      </c>
      <c r="K585">
        <v>9849.82</v>
      </c>
      <c r="L585" s="2">
        <v>45505</v>
      </c>
    </row>
    <row r="586" spans="1:12" x14ac:dyDescent="0.3">
      <c r="A586" t="s">
        <v>14</v>
      </c>
      <c r="B586" t="s">
        <v>32</v>
      </c>
      <c r="C586" t="s">
        <v>35</v>
      </c>
      <c r="D586" t="s">
        <v>41</v>
      </c>
      <c r="E586" t="s">
        <v>51</v>
      </c>
      <c r="F586" t="s">
        <v>53</v>
      </c>
      <c r="G586">
        <v>182</v>
      </c>
      <c r="H586">
        <v>62.81</v>
      </c>
      <c r="I586">
        <v>11431.42</v>
      </c>
      <c r="J586">
        <v>9115.7000000000007</v>
      </c>
      <c r="K586">
        <v>2315.7199999999998</v>
      </c>
      <c r="L586" s="2">
        <v>45505</v>
      </c>
    </row>
    <row r="587" spans="1:12" x14ac:dyDescent="0.3">
      <c r="A587" t="s">
        <v>14</v>
      </c>
      <c r="B587" t="s">
        <v>23</v>
      </c>
      <c r="C587" t="s">
        <v>34</v>
      </c>
      <c r="D587" t="s">
        <v>38</v>
      </c>
      <c r="E587" t="s">
        <v>48</v>
      </c>
      <c r="F587" t="s">
        <v>53</v>
      </c>
      <c r="G587">
        <v>327</v>
      </c>
      <c r="H587">
        <v>187.55</v>
      </c>
      <c r="I587">
        <v>61328.85</v>
      </c>
      <c r="J587">
        <v>44224.21</v>
      </c>
      <c r="K587">
        <v>17104.64</v>
      </c>
      <c r="L587" s="2">
        <v>45536</v>
      </c>
    </row>
    <row r="588" spans="1:12" x14ac:dyDescent="0.3">
      <c r="A588" t="s">
        <v>14</v>
      </c>
      <c r="B588" t="s">
        <v>23</v>
      </c>
      <c r="C588" t="s">
        <v>35</v>
      </c>
      <c r="D588" t="s">
        <v>47</v>
      </c>
      <c r="E588" t="s">
        <v>51</v>
      </c>
      <c r="F588" t="s">
        <v>55</v>
      </c>
      <c r="G588">
        <v>215</v>
      </c>
      <c r="H588">
        <v>209.58</v>
      </c>
      <c r="I588">
        <v>45059.7</v>
      </c>
      <c r="J588">
        <v>31512.26</v>
      </c>
      <c r="K588">
        <v>13547.44</v>
      </c>
      <c r="L588" s="2">
        <v>45536</v>
      </c>
    </row>
    <row r="589" spans="1:12" x14ac:dyDescent="0.3">
      <c r="A589" t="s">
        <v>13</v>
      </c>
      <c r="B589" t="s">
        <v>17</v>
      </c>
      <c r="C589" t="s">
        <v>34</v>
      </c>
      <c r="D589" t="s">
        <v>38</v>
      </c>
      <c r="E589" t="s">
        <v>52</v>
      </c>
      <c r="F589" t="s">
        <v>54</v>
      </c>
      <c r="G589">
        <v>346</v>
      </c>
      <c r="H589">
        <v>255.62</v>
      </c>
      <c r="I589">
        <v>88444.52</v>
      </c>
      <c r="J589">
        <v>72813.95</v>
      </c>
      <c r="K589">
        <v>15630.57</v>
      </c>
      <c r="L589" s="2">
        <v>45536</v>
      </c>
    </row>
    <row r="590" spans="1:12" x14ac:dyDescent="0.3">
      <c r="A590" t="s">
        <v>16</v>
      </c>
      <c r="B590" t="s">
        <v>28</v>
      </c>
      <c r="C590" t="s">
        <v>35</v>
      </c>
      <c r="D590" t="s">
        <v>46</v>
      </c>
      <c r="E590" t="s">
        <v>51</v>
      </c>
      <c r="F590" t="s">
        <v>54</v>
      </c>
      <c r="G590">
        <v>228</v>
      </c>
      <c r="H590">
        <v>172.53</v>
      </c>
      <c r="I590">
        <v>39336.839999999997</v>
      </c>
      <c r="J590">
        <v>24693.599999999999</v>
      </c>
      <c r="K590">
        <v>14643.24</v>
      </c>
      <c r="L590" s="2">
        <v>45536</v>
      </c>
    </row>
    <row r="591" spans="1:12" x14ac:dyDescent="0.3">
      <c r="A591" t="s">
        <v>14</v>
      </c>
      <c r="B591" t="s">
        <v>32</v>
      </c>
      <c r="C591" t="s">
        <v>35</v>
      </c>
      <c r="D591" t="s">
        <v>46</v>
      </c>
      <c r="E591" t="s">
        <v>51</v>
      </c>
      <c r="F591" t="s">
        <v>55</v>
      </c>
      <c r="G591">
        <v>139</v>
      </c>
      <c r="H591">
        <v>234.12</v>
      </c>
      <c r="I591">
        <v>32542.68</v>
      </c>
      <c r="J591">
        <v>21397.25</v>
      </c>
      <c r="K591">
        <v>11145.43</v>
      </c>
      <c r="L591" s="2">
        <v>45536</v>
      </c>
    </row>
    <row r="592" spans="1:12" x14ac:dyDescent="0.3">
      <c r="A592" t="s">
        <v>14</v>
      </c>
      <c r="B592" t="s">
        <v>18</v>
      </c>
      <c r="C592" t="s">
        <v>34</v>
      </c>
      <c r="D592" t="s">
        <v>45</v>
      </c>
      <c r="E592" t="s">
        <v>52</v>
      </c>
      <c r="F592" t="s">
        <v>54</v>
      </c>
      <c r="G592">
        <v>182</v>
      </c>
      <c r="H592">
        <v>253.05</v>
      </c>
      <c r="I592">
        <v>46055.1</v>
      </c>
      <c r="J592">
        <v>32289.02</v>
      </c>
      <c r="K592">
        <v>13766.08</v>
      </c>
      <c r="L592" s="2">
        <v>45536</v>
      </c>
    </row>
    <row r="593" spans="1:12" x14ac:dyDescent="0.3">
      <c r="A593" t="s">
        <v>14</v>
      </c>
      <c r="B593" t="s">
        <v>19</v>
      </c>
      <c r="C593" t="s">
        <v>35</v>
      </c>
      <c r="D593" t="s">
        <v>42</v>
      </c>
      <c r="E593" t="s">
        <v>52</v>
      </c>
      <c r="F593" t="s">
        <v>54</v>
      </c>
      <c r="G593">
        <v>372</v>
      </c>
      <c r="H593">
        <v>22.87</v>
      </c>
      <c r="I593">
        <v>8507.64</v>
      </c>
      <c r="J593">
        <v>5695.49</v>
      </c>
      <c r="K593">
        <v>2812.15</v>
      </c>
      <c r="L593" s="2">
        <v>45536</v>
      </c>
    </row>
    <row r="594" spans="1:12" x14ac:dyDescent="0.3">
      <c r="A594" t="s">
        <v>15</v>
      </c>
      <c r="B594" t="s">
        <v>31</v>
      </c>
      <c r="C594" t="s">
        <v>34</v>
      </c>
      <c r="D594" t="s">
        <v>36</v>
      </c>
      <c r="E594" t="s">
        <v>49</v>
      </c>
      <c r="F594" t="s">
        <v>55</v>
      </c>
      <c r="G594">
        <v>84</v>
      </c>
      <c r="H594">
        <v>224.6</v>
      </c>
      <c r="I594">
        <v>18866.400000000001</v>
      </c>
      <c r="J594">
        <v>15802.09</v>
      </c>
      <c r="K594">
        <v>3064.31</v>
      </c>
      <c r="L594" s="2">
        <v>45536</v>
      </c>
    </row>
    <row r="595" spans="1:12" x14ac:dyDescent="0.3">
      <c r="A595" t="s">
        <v>14</v>
      </c>
      <c r="B595" t="s">
        <v>32</v>
      </c>
      <c r="C595" t="s">
        <v>35</v>
      </c>
      <c r="D595" t="s">
        <v>44</v>
      </c>
      <c r="E595" t="s">
        <v>49</v>
      </c>
      <c r="F595" t="s">
        <v>53</v>
      </c>
      <c r="G595">
        <v>367</v>
      </c>
      <c r="H595">
        <v>274.82</v>
      </c>
      <c r="I595">
        <v>100858.94</v>
      </c>
      <c r="J595">
        <v>75269.75</v>
      </c>
      <c r="K595">
        <v>25589.19</v>
      </c>
      <c r="L595" s="2">
        <v>45536</v>
      </c>
    </row>
    <row r="596" spans="1:12" x14ac:dyDescent="0.3">
      <c r="A596" t="s">
        <v>16</v>
      </c>
      <c r="B596" t="s">
        <v>28</v>
      </c>
      <c r="C596" t="s">
        <v>35</v>
      </c>
      <c r="D596" t="s">
        <v>47</v>
      </c>
      <c r="E596" t="s">
        <v>49</v>
      </c>
      <c r="F596" t="s">
        <v>55</v>
      </c>
      <c r="G596">
        <v>82</v>
      </c>
      <c r="H596">
        <v>98.83</v>
      </c>
      <c r="I596">
        <v>8104.06</v>
      </c>
      <c r="J596">
        <v>6460.93</v>
      </c>
      <c r="K596">
        <v>1643.13</v>
      </c>
      <c r="L596" s="2">
        <v>45536</v>
      </c>
    </row>
    <row r="597" spans="1:12" x14ac:dyDescent="0.3">
      <c r="A597" t="s">
        <v>16</v>
      </c>
      <c r="B597" t="s">
        <v>22</v>
      </c>
      <c r="C597" t="s">
        <v>34</v>
      </c>
      <c r="D597" t="s">
        <v>38</v>
      </c>
      <c r="E597" t="s">
        <v>51</v>
      </c>
      <c r="F597" t="s">
        <v>54</v>
      </c>
      <c r="G597">
        <v>304</v>
      </c>
      <c r="H597">
        <v>264.94</v>
      </c>
      <c r="I597">
        <v>80541.759999999995</v>
      </c>
      <c r="J597">
        <v>67347.649999999994</v>
      </c>
      <c r="K597">
        <v>13194.11</v>
      </c>
      <c r="L597" s="2">
        <v>45536</v>
      </c>
    </row>
    <row r="598" spans="1:12" x14ac:dyDescent="0.3">
      <c r="A598" t="s">
        <v>13</v>
      </c>
      <c r="B598" t="s">
        <v>30</v>
      </c>
      <c r="C598" t="s">
        <v>34</v>
      </c>
      <c r="D598" t="s">
        <v>43</v>
      </c>
      <c r="E598" t="s">
        <v>52</v>
      </c>
      <c r="F598" t="s">
        <v>54</v>
      </c>
      <c r="G598">
        <v>78</v>
      </c>
      <c r="H598">
        <v>254.16</v>
      </c>
      <c r="I598">
        <v>19824.48</v>
      </c>
      <c r="J598">
        <v>12817.03</v>
      </c>
      <c r="K598">
        <v>7007.45</v>
      </c>
      <c r="L598" s="2">
        <v>45536</v>
      </c>
    </row>
    <row r="599" spans="1:12" x14ac:dyDescent="0.3">
      <c r="A599" t="s">
        <v>15</v>
      </c>
      <c r="B599" t="s">
        <v>21</v>
      </c>
      <c r="C599" t="s">
        <v>35</v>
      </c>
      <c r="D599" t="s">
        <v>41</v>
      </c>
      <c r="E599" t="s">
        <v>52</v>
      </c>
      <c r="F599" t="s">
        <v>54</v>
      </c>
      <c r="G599">
        <v>160</v>
      </c>
      <c r="H599">
        <v>18.690000000000001</v>
      </c>
      <c r="I599">
        <v>2990.4</v>
      </c>
      <c r="J599">
        <v>2024.45</v>
      </c>
      <c r="K599">
        <v>965.95</v>
      </c>
      <c r="L599" s="2">
        <v>45536</v>
      </c>
    </row>
    <row r="600" spans="1:12" x14ac:dyDescent="0.3">
      <c r="A600" t="s">
        <v>14</v>
      </c>
      <c r="B600" t="s">
        <v>32</v>
      </c>
      <c r="C600" t="s">
        <v>35</v>
      </c>
      <c r="D600" t="s">
        <v>39</v>
      </c>
      <c r="E600" t="s">
        <v>51</v>
      </c>
      <c r="F600" t="s">
        <v>53</v>
      </c>
      <c r="G600">
        <v>468</v>
      </c>
      <c r="H600">
        <v>89.25</v>
      </c>
      <c r="I600">
        <v>41769</v>
      </c>
      <c r="J600">
        <v>34990.559999999998</v>
      </c>
      <c r="K600">
        <v>6778.44</v>
      </c>
      <c r="L600" s="2">
        <v>45536</v>
      </c>
    </row>
    <row r="601" spans="1:12" x14ac:dyDescent="0.3">
      <c r="A601" t="s">
        <v>16</v>
      </c>
      <c r="B601" t="s">
        <v>28</v>
      </c>
      <c r="C601" t="s">
        <v>34</v>
      </c>
      <c r="D601" t="s">
        <v>38</v>
      </c>
      <c r="E601" t="s">
        <v>49</v>
      </c>
      <c r="F601" t="s">
        <v>53</v>
      </c>
      <c r="G601">
        <v>313</v>
      </c>
      <c r="H601">
        <v>255.68</v>
      </c>
      <c r="I601">
        <v>80027.839999999997</v>
      </c>
      <c r="J601">
        <v>66307.8</v>
      </c>
      <c r="K601">
        <v>13720.04</v>
      </c>
      <c r="L601" s="2">
        <v>45536</v>
      </c>
    </row>
    <row r="602" spans="1:12" x14ac:dyDescent="0.3">
      <c r="A602" t="s">
        <v>14</v>
      </c>
      <c r="B602" t="s">
        <v>18</v>
      </c>
      <c r="C602" t="s">
        <v>34</v>
      </c>
      <c r="D602" t="s">
        <v>36</v>
      </c>
      <c r="E602" t="s">
        <v>51</v>
      </c>
      <c r="F602" t="s">
        <v>55</v>
      </c>
      <c r="G602">
        <v>109</v>
      </c>
      <c r="H602">
        <v>123.96</v>
      </c>
      <c r="I602">
        <v>13511.64</v>
      </c>
      <c r="J602">
        <v>9883.1299999999992</v>
      </c>
      <c r="K602">
        <v>3628.51</v>
      </c>
      <c r="L602" s="2">
        <v>45536</v>
      </c>
    </row>
    <row r="603" spans="1:12" x14ac:dyDescent="0.3">
      <c r="A603" t="s">
        <v>13</v>
      </c>
      <c r="B603" t="s">
        <v>26</v>
      </c>
      <c r="C603" t="s">
        <v>34</v>
      </c>
      <c r="D603" t="s">
        <v>36</v>
      </c>
      <c r="E603" t="s">
        <v>49</v>
      </c>
      <c r="F603" t="s">
        <v>55</v>
      </c>
      <c r="G603">
        <v>353</v>
      </c>
      <c r="H603">
        <v>265.91000000000003</v>
      </c>
      <c r="I603">
        <v>93866.23</v>
      </c>
      <c r="J603">
        <v>58800</v>
      </c>
      <c r="K603">
        <v>35066.230000000003</v>
      </c>
      <c r="L603" s="2">
        <v>45536</v>
      </c>
    </row>
    <row r="604" spans="1:12" x14ac:dyDescent="0.3">
      <c r="A604" t="s">
        <v>14</v>
      </c>
      <c r="B604" t="s">
        <v>19</v>
      </c>
      <c r="C604" t="s">
        <v>34</v>
      </c>
      <c r="D604" t="s">
        <v>45</v>
      </c>
      <c r="E604" t="s">
        <v>48</v>
      </c>
      <c r="F604" t="s">
        <v>54</v>
      </c>
      <c r="G604">
        <v>47</v>
      </c>
      <c r="H604">
        <v>85.33</v>
      </c>
      <c r="I604">
        <v>4010.51</v>
      </c>
      <c r="J604">
        <v>3131.63</v>
      </c>
      <c r="K604">
        <v>878.88</v>
      </c>
      <c r="L604" s="2">
        <v>45536</v>
      </c>
    </row>
    <row r="605" spans="1:12" x14ac:dyDescent="0.3">
      <c r="A605" t="s">
        <v>15</v>
      </c>
      <c r="B605" t="s">
        <v>31</v>
      </c>
      <c r="C605" t="s">
        <v>34</v>
      </c>
      <c r="D605" t="s">
        <v>43</v>
      </c>
      <c r="E605" t="s">
        <v>52</v>
      </c>
      <c r="F605" t="s">
        <v>55</v>
      </c>
      <c r="G605">
        <v>119</v>
      </c>
      <c r="H605">
        <v>196.35</v>
      </c>
      <c r="I605">
        <v>23365.65</v>
      </c>
      <c r="J605">
        <v>18455.03</v>
      </c>
      <c r="K605">
        <v>4910.62</v>
      </c>
      <c r="L605" s="2">
        <v>45536</v>
      </c>
    </row>
    <row r="606" spans="1:12" x14ac:dyDescent="0.3">
      <c r="A606" t="s">
        <v>16</v>
      </c>
      <c r="B606" t="s">
        <v>22</v>
      </c>
      <c r="C606" t="s">
        <v>34</v>
      </c>
      <c r="D606" t="s">
        <v>36</v>
      </c>
      <c r="E606" t="s">
        <v>51</v>
      </c>
      <c r="F606" t="s">
        <v>54</v>
      </c>
      <c r="G606">
        <v>452</v>
      </c>
      <c r="H606">
        <v>91.6</v>
      </c>
      <c r="I606">
        <v>41403.199999999997</v>
      </c>
      <c r="J606">
        <v>27457.040000000001</v>
      </c>
      <c r="K606">
        <v>13946.16</v>
      </c>
      <c r="L606" s="2">
        <v>45536</v>
      </c>
    </row>
    <row r="607" spans="1:12" x14ac:dyDescent="0.3">
      <c r="A607" t="s">
        <v>15</v>
      </c>
      <c r="B607" t="s">
        <v>29</v>
      </c>
      <c r="C607" t="s">
        <v>35</v>
      </c>
      <c r="D607" t="s">
        <v>46</v>
      </c>
      <c r="E607" t="s">
        <v>52</v>
      </c>
      <c r="F607" t="s">
        <v>53</v>
      </c>
      <c r="G607">
        <v>88</v>
      </c>
      <c r="H607">
        <v>39.799999999999997</v>
      </c>
      <c r="I607">
        <v>3502.4</v>
      </c>
      <c r="J607">
        <v>2266.96</v>
      </c>
      <c r="K607">
        <v>1235.44</v>
      </c>
      <c r="L607" s="2">
        <v>45536</v>
      </c>
    </row>
    <row r="608" spans="1:12" x14ac:dyDescent="0.3">
      <c r="A608" t="s">
        <v>15</v>
      </c>
      <c r="B608" t="s">
        <v>21</v>
      </c>
      <c r="C608" t="s">
        <v>35</v>
      </c>
      <c r="D608" t="s">
        <v>47</v>
      </c>
      <c r="E608" t="s">
        <v>50</v>
      </c>
      <c r="F608" t="s">
        <v>53</v>
      </c>
      <c r="G608">
        <v>225</v>
      </c>
      <c r="H608">
        <v>279.93</v>
      </c>
      <c r="I608">
        <v>62984.25</v>
      </c>
      <c r="J608">
        <v>39770.21</v>
      </c>
      <c r="K608">
        <v>23214.04</v>
      </c>
      <c r="L608" s="2">
        <v>45536</v>
      </c>
    </row>
    <row r="609" spans="1:12" x14ac:dyDescent="0.3">
      <c r="A609" t="s">
        <v>15</v>
      </c>
      <c r="B609" t="s">
        <v>33</v>
      </c>
      <c r="C609" t="s">
        <v>34</v>
      </c>
      <c r="D609" t="s">
        <v>45</v>
      </c>
      <c r="E609" t="s">
        <v>51</v>
      </c>
      <c r="F609" t="s">
        <v>53</v>
      </c>
      <c r="G609">
        <v>390</v>
      </c>
      <c r="H609">
        <v>140.86000000000001</v>
      </c>
      <c r="I609">
        <v>54935.4</v>
      </c>
      <c r="J609">
        <v>46488.94</v>
      </c>
      <c r="K609">
        <v>8446.4599999999991</v>
      </c>
      <c r="L609" s="2">
        <v>45536</v>
      </c>
    </row>
    <row r="610" spans="1:12" x14ac:dyDescent="0.3">
      <c r="A610" t="s">
        <v>16</v>
      </c>
      <c r="B610" t="s">
        <v>25</v>
      </c>
      <c r="C610" t="s">
        <v>35</v>
      </c>
      <c r="D610" t="s">
        <v>46</v>
      </c>
      <c r="E610" t="s">
        <v>52</v>
      </c>
      <c r="F610" t="s">
        <v>55</v>
      </c>
      <c r="G610">
        <v>152</v>
      </c>
      <c r="H610">
        <v>265.82</v>
      </c>
      <c r="I610">
        <v>40404.639999999999</v>
      </c>
      <c r="J610">
        <v>28217.06</v>
      </c>
      <c r="K610">
        <v>12187.58</v>
      </c>
      <c r="L610" s="2">
        <v>45536</v>
      </c>
    </row>
    <row r="611" spans="1:12" x14ac:dyDescent="0.3">
      <c r="A611" t="s">
        <v>15</v>
      </c>
      <c r="B611" t="s">
        <v>20</v>
      </c>
      <c r="C611" t="s">
        <v>35</v>
      </c>
      <c r="D611" t="s">
        <v>39</v>
      </c>
      <c r="E611" t="s">
        <v>48</v>
      </c>
      <c r="F611" t="s">
        <v>55</v>
      </c>
      <c r="G611">
        <v>187</v>
      </c>
      <c r="H611">
        <v>37.090000000000003</v>
      </c>
      <c r="I611">
        <v>6935.83</v>
      </c>
      <c r="J611">
        <v>4926.3</v>
      </c>
      <c r="K611">
        <v>2009.53</v>
      </c>
      <c r="L611" s="2">
        <v>45536</v>
      </c>
    </row>
    <row r="612" spans="1:12" x14ac:dyDescent="0.3">
      <c r="A612" t="s">
        <v>14</v>
      </c>
      <c r="B612" t="s">
        <v>23</v>
      </c>
      <c r="C612" t="s">
        <v>34</v>
      </c>
      <c r="D612" t="s">
        <v>37</v>
      </c>
      <c r="E612" t="s">
        <v>50</v>
      </c>
      <c r="F612" t="s">
        <v>55</v>
      </c>
      <c r="G612">
        <v>453</v>
      </c>
      <c r="H612">
        <v>28.62</v>
      </c>
      <c r="I612">
        <v>12964.86</v>
      </c>
      <c r="J612">
        <v>9665.2099999999991</v>
      </c>
      <c r="K612">
        <v>3299.65</v>
      </c>
      <c r="L612" s="2">
        <v>45536</v>
      </c>
    </row>
    <row r="613" spans="1:12" x14ac:dyDescent="0.3">
      <c r="A613" t="s">
        <v>16</v>
      </c>
      <c r="B613" t="s">
        <v>25</v>
      </c>
      <c r="C613" t="s">
        <v>34</v>
      </c>
      <c r="D613" t="s">
        <v>45</v>
      </c>
      <c r="E613" t="s">
        <v>48</v>
      </c>
      <c r="F613" t="s">
        <v>53</v>
      </c>
      <c r="G613">
        <v>257</v>
      </c>
      <c r="H613">
        <v>48.94</v>
      </c>
      <c r="I613">
        <v>12577.58</v>
      </c>
      <c r="J613">
        <v>10558.67</v>
      </c>
      <c r="K613">
        <v>2018.91</v>
      </c>
      <c r="L613" s="2">
        <v>45536</v>
      </c>
    </row>
    <row r="614" spans="1:12" x14ac:dyDescent="0.3">
      <c r="A614" t="s">
        <v>16</v>
      </c>
      <c r="B614" t="s">
        <v>24</v>
      </c>
      <c r="C614" t="s">
        <v>35</v>
      </c>
      <c r="D614" t="s">
        <v>41</v>
      </c>
      <c r="E614" t="s">
        <v>51</v>
      </c>
      <c r="F614" t="s">
        <v>54</v>
      </c>
      <c r="G614">
        <v>148</v>
      </c>
      <c r="H614">
        <v>291.52</v>
      </c>
      <c r="I614">
        <v>43144.959999999999</v>
      </c>
      <c r="J614">
        <v>36051.019999999997</v>
      </c>
      <c r="K614">
        <v>7093.94</v>
      </c>
      <c r="L614" s="2">
        <v>45536</v>
      </c>
    </row>
    <row r="615" spans="1:12" x14ac:dyDescent="0.3">
      <c r="A615" t="s">
        <v>16</v>
      </c>
      <c r="B615" t="s">
        <v>28</v>
      </c>
      <c r="C615" t="s">
        <v>34</v>
      </c>
      <c r="D615" t="s">
        <v>37</v>
      </c>
      <c r="E615" t="s">
        <v>48</v>
      </c>
      <c r="F615" t="s">
        <v>53</v>
      </c>
      <c r="G615">
        <v>297</v>
      </c>
      <c r="H615">
        <v>89.51</v>
      </c>
      <c r="I615">
        <v>26584.47</v>
      </c>
      <c r="J615">
        <v>16478.509999999998</v>
      </c>
      <c r="K615">
        <v>10105.959999999999</v>
      </c>
      <c r="L615" s="2">
        <v>45566</v>
      </c>
    </row>
    <row r="616" spans="1:12" x14ac:dyDescent="0.3">
      <c r="A616" t="s">
        <v>14</v>
      </c>
      <c r="B616" t="s">
        <v>23</v>
      </c>
      <c r="C616" t="s">
        <v>35</v>
      </c>
      <c r="D616" t="s">
        <v>40</v>
      </c>
      <c r="E616" t="s">
        <v>51</v>
      </c>
      <c r="F616" t="s">
        <v>53</v>
      </c>
      <c r="G616">
        <v>433</v>
      </c>
      <c r="H616">
        <v>183.63</v>
      </c>
      <c r="I616">
        <v>79511.789999999994</v>
      </c>
      <c r="J616">
        <v>55591.86</v>
      </c>
      <c r="K616">
        <v>23919.93</v>
      </c>
      <c r="L616" s="2">
        <v>45566</v>
      </c>
    </row>
    <row r="617" spans="1:12" x14ac:dyDescent="0.3">
      <c r="A617" t="s">
        <v>15</v>
      </c>
      <c r="B617" t="s">
        <v>29</v>
      </c>
      <c r="C617" t="s">
        <v>34</v>
      </c>
      <c r="D617" t="s">
        <v>43</v>
      </c>
      <c r="E617" t="s">
        <v>48</v>
      </c>
      <c r="F617" t="s">
        <v>55</v>
      </c>
      <c r="G617">
        <v>268</v>
      </c>
      <c r="H617">
        <v>249.6</v>
      </c>
      <c r="I617">
        <v>66892.800000000003</v>
      </c>
      <c r="J617">
        <v>53527.11</v>
      </c>
      <c r="K617">
        <v>13365.69</v>
      </c>
      <c r="L617" s="2">
        <v>45566</v>
      </c>
    </row>
    <row r="618" spans="1:12" x14ac:dyDescent="0.3">
      <c r="A618" t="s">
        <v>13</v>
      </c>
      <c r="B618" t="s">
        <v>26</v>
      </c>
      <c r="C618" t="s">
        <v>35</v>
      </c>
      <c r="D618" t="s">
        <v>46</v>
      </c>
      <c r="E618" t="s">
        <v>49</v>
      </c>
      <c r="F618" t="s">
        <v>54</v>
      </c>
      <c r="G618">
        <v>152</v>
      </c>
      <c r="H618">
        <v>69.42</v>
      </c>
      <c r="I618">
        <v>10551.84</v>
      </c>
      <c r="J618">
        <v>8646.7800000000007</v>
      </c>
      <c r="K618">
        <v>1905.06</v>
      </c>
      <c r="L618" s="2">
        <v>45566</v>
      </c>
    </row>
    <row r="619" spans="1:12" x14ac:dyDescent="0.3">
      <c r="A619" t="s">
        <v>13</v>
      </c>
      <c r="B619" t="s">
        <v>26</v>
      </c>
      <c r="C619" t="s">
        <v>35</v>
      </c>
      <c r="D619" t="s">
        <v>44</v>
      </c>
      <c r="E619" t="s">
        <v>51</v>
      </c>
      <c r="F619" t="s">
        <v>54</v>
      </c>
      <c r="G619">
        <v>266</v>
      </c>
      <c r="H619">
        <v>140.34</v>
      </c>
      <c r="I619">
        <v>37330.44</v>
      </c>
      <c r="J619">
        <v>27884.76</v>
      </c>
      <c r="K619">
        <v>9445.68</v>
      </c>
      <c r="L619" s="2">
        <v>45566</v>
      </c>
    </row>
    <row r="620" spans="1:12" x14ac:dyDescent="0.3">
      <c r="A620" t="s">
        <v>16</v>
      </c>
      <c r="B620" t="s">
        <v>22</v>
      </c>
      <c r="C620" t="s">
        <v>34</v>
      </c>
      <c r="D620" t="s">
        <v>45</v>
      </c>
      <c r="E620" t="s">
        <v>52</v>
      </c>
      <c r="F620" t="s">
        <v>54</v>
      </c>
      <c r="G620">
        <v>290</v>
      </c>
      <c r="H620">
        <v>217.33</v>
      </c>
      <c r="I620">
        <v>63025.7</v>
      </c>
      <c r="J620">
        <v>46682.35</v>
      </c>
      <c r="K620">
        <v>16343.35</v>
      </c>
      <c r="L620" s="2">
        <v>45566</v>
      </c>
    </row>
    <row r="621" spans="1:12" x14ac:dyDescent="0.3">
      <c r="A621" t="s">
        <v>13</v>
      </c>
      <c r="B621" t="s">
        <v>17</v>
      </c>
      <c r="C621" t="s">
        <v>34</v>
      </c>
      <c r="D621" t="s">
        <v>36</v>
      </c>
      <c r="E621" t="s">
        <v>49</v>
      </c>
      <c r="F621" t="s">
        <v>55</v>
      </c>
      <c r="G621">
        <v>301</v>
      </c>
      <c r="H621">
        <v>233.59</v>
      </c>
      <c r="I621">
        <v>70310.59</v>
      </c>
      <c r="J621">
        <v>43386.02</v>
      </c>
      <c r="K621">
        <v>26924.57</v>
      </c>
      <c r="L621" s="2">
        <v>45566</v>
      </c>
    </row>
    <row r="622" spans="1:12" x14ac:dyDescent="0.3">
      <c r="A622" t="s">
        <v>14</v>
      </c>
      <c r="B622" t="s">
        <v>23</v>
      </c>
      <c r="C622" t="s">
        <v>34</v>
      </c>
      <c r="D622" t="s">
        <v>37</v>
      </c>
      <c r="E622" t="s">
        <v>51</v>
      </c>
      <c r="F622" t="s">
        <v>54</v>
      </c>
      <c r="G622">
        <v>82</v>
      </c>
      <c r="H622">
        <v>41.75</v>
      </c>
      <c r="I622">
        <v>3423.5</v>
      </c>
      <c r="J622">
        <v>2389.29</v>
      </c>
      <c r="K622">
        <v>1034.21</v>
      </c>
      <c r="L622" s="2">
        <v>45566</v>
      </c>
    </row>
    <row r="623" spans="1:12" x14ac:dyDescent="0.3">
      <c r="A623" t="s">
        <v>13</v>
      </c>
      <c r="B623" t="s">
        <v>30</v>
      </c>
      <c r="C623" t="s">
        <v>35</v>
      </c>
      <c r="D623" t="s">
        <v>41</v>
      </c>
      <c r="E623" t="s">
        <v>49</v>
      </c>
      <c r="F623" t="s">
        <v>54</v>
      </c>
      <c r="G623">
        <v>298</v>
      </c>
      <c r="H623">
        <v>12.18</v>
      </c>
      <c r="I623">
        <v>3629.64</v>
      </c>
      <c r="J623">
        <v>2382.25</v>
      </c>
      <c r="K623">
        <v>1247.3900000000001</v>
      </c>
      <c r="L623" s="2">
        <v>45566</v>
      </c>
    </row>
    <row r="624" spans="1:12" x14ac:dyDescent="0.3">
      <c r="A624" t="s">
        <v>15</v>
      </c>
      <c r="B624" t="s">
        <v>31</v>
      </c>
      <c r="C624" t="s">
        <v>34</v>
      </c>
      <c r="D624" t="s">
        <v>43</v>
      </c>
      <c r="E624" t="s">
        <v>50</v>
      </c>
      <c r="F624" t="s">
        <v>53</v>
      </c>
      <c r="G624">
        <v>498</v>
      </c>
      <c r="H624">
        <v>140.16</v>
      </c>
      <c r="I624">
        <v>69799.679999999993</v>
      </c>
      <c r="J624">
        <v>44654.78</v>
      </c>
      <c r="K624">
        <v>25144.9</v>
      </c>
      <c r="L624" s="2">
        <v>45566</v>
      </c>
    </row>
    <row r="625" spans="1:12" x14ac:dyDescent="0.3">
      <c r="A625" t="s">
        <v>13</v>
      </c>
      <c r="B625" t="s">
        <v>26</v>
      </c>
      <c r="C625" t="s">
        <v>34</v>
      </c>
      <c r="D625" t="s">
        <v>43</v>
      </c>
      <c r="E625" t="s">
        <v>51</v>
      </c>
      <c r="F625" t="s">
        <v>55</v>
      </c>
      <c r="G625">
        <v>111</v>
      </c>
      <c r="H625">
        <v>107.83</v>
      </c>
      <c r="I625">
        <v>11969.13</v>
      </c>
      <c r="J625">
        <v>7239.31</v>
      </c>
      <c r="K625">
        <v>4729.82</v>
      </c>
      <c r="L625" s="2">
        <v>45566</v>
      </c>
    </row>
    <row r="626" spans="1:12" x14ac:dyDescent="0.3">
      <c r="A626" t="s">
        <v>14</v>
      </c>
      <c r="B626" t="s">
        <v>23</v>
      </c>
      <c r="C626" t="s">
        <v>34</v>
      </c>
      <c r="D626" t="s">
        <v>43</v>
      </c>
      <c r="E626" t="s">
        <v>48</v>
      </c>
      <c r="F626" t="s">
        <v>55</v>
      </c>
      <c r="G626">
        <v>203</v>
      </c>
      <c r="H626">
        <v>164.99</v>
      </c>
      <c r="I626">
        <v>33492.97</v>
      </c>
      <c r="J626">
        <v>24124.05</v>
      </c>
      <c r="K626">
        <v>9368.92</v>
      </c>
      <c r="L626" s="2">
        <v>45566</v>
      </c>
    </row>
    <row r="627" spans="1:12" x14ac:dyDescent="0.3">
      <c r="A627" t="s">
        <v>16</v>
      </c>
      <c r="B627" t="s">
        <v>25</v>
      </c>
      <c r="C627" t="s">
        <v>34</v>
      </c>
      <c r="D627" t="s">
        <v>37</v>
      </c>
      <c r="E627" t="s">
        <v>49</v>
      </c>
      <c r="F627" t="s">
        <v>53</v>
      </c>
      <c r="G627">
        <v>68</v>
      </c>
      <c r="H627">
        <v>261.52</v>
      </c>
      <c r="I627">
        <v>17783.36</v>
      </c>
      <c r="J627">
        <v>13819.28</v>
      </c>
      <c r="K627">
        <v>3964.08</v>
      </c>
      <c r="L627" s="2">
        <v>45566</v>
      </c>
    </row>
    <row r="628" spans="1:12" x14ac:dyDescent="0.3">
      <c r="A628" t="s">
        <v>13</v>
      </c>
      <c r="B628" t="s">
        <v>27</v>
      </c>
      <c r="C628" t="s">
        <v>35</v>
      </c>
      <c r="D628" t="s">
        <v>41</v>
      </c>
      <c r="E628" t="s">
        <v>49</v>
      </c>
      <c r="F628" t="s">
        <v>55</v>
      </c>
      <c r="G628">
        <v>312</v>
      </c>
      <c r="H628">
        <v>175.48</v>
      </c>
      <c r="I628">
        <v>54749.760000000002</v>
      </c>
      <c r="J628">
        <v>33265.78</v>
      </c>
      <c r="K628">
        <v>21483.98</v>
      </c>
      <c r="L628" s="2">
        <v>45566</v>
      </c>
    </row>
    <row r="629" spans="1:12" x14ac:dyDescent="0.3">
      <c r="A629" t="s">
        <v>15</v>
      </c>
      <c r="B629" t="s">
        <v>21</v>
      </c>
      <c r="C629" t="s">
        <v>34</v>
      </c>
      <c r="D629" t="s">
        <v>38</v>
      </c>
      <c r="E629" t="s">
        <v>48</v>
      </c>
      <c r="F629" t="s">
        <v>55</v>
      </c>
      <c r="G629">
        <v>471</v>
      </c>
      <c r="H629">
        <v>233.53</v>
      </c>
      <c r="I629">
        <v>109992.63</v>
      </c>
      <c r="J629">
        <v>66074.81</v>
      </c>
      <c r="K629">
        <v>43917.82</v>
      </c>
      <c r="L629" s="2">
        <v>45566</v>
      </c>
    </row>
    <row r="630" spans="1:12" x14ac:dyDescent="0.3">
      <c r="A630" t="s">
        <v>16</v>
      </c>
      <c r="B630" t="s">
        <v>25</v>
      </c>
      <c r="C630" t="s">
        <v>35</v>
      </c>
      <c r="D630" t="s">
        <v>40</v>
      </c>
      <c r="E630" t="s">
        <v>51</v>
      </c>
      <c r="F630" t="s">
        <v>53</v>
      </c>
      <c r="G630">
        <v>197</v>
      </c>
      <c r="H630">
        <v>166.26</v>
      </c>
      <c r="I630">
        <v>32753.22</v>
      </c>
      <c r="J630">
        <v>20148.38</v>
      </c>
      <c r="K630">
        <v>12604.84</v>
      </c>
      <c r="L630" s="2">
        <v>45566</v>
      </c>
    </row>
    <row r="631" spans="1:12" x14ac:dyDescent="0.3">
      <c r="A631" t="s">
        <v>15</v>
      </c>
      <c r="B631" t="s">
        <v>21</v>
      </c>
      <c r="C631" t="s">
        <v>35</v>
      </c>
      <c r="D631" t="s">
        <v>41</v>
      </c>
      <c r="E631" t="s">
        <v>48</v>
      </c>
      <c r="F631" t="s">
        <v>53</v>
      </c>
      <c r="G631">
        <v>373</v>
      </c>
      <c r="H631">
        <v>220.67</v>
      </c>
      <c r="I631">
        <v>82309.91</v>
      </c>
      <c r="J631">
        <v>69794.89</v>
      </c>
      <c r="K631">
        <v>12515.02</v>
      </c>
      <c r="L631" s="2">
        <v>45566</v>
      </c>
    </row>
    <row r="632" spans="1:12" x14ac:dyDescent="0.3">
      <c r="A632" t="s">
        <v>14</v>
      </c>
      <c r="B632" t="s">
        <v>32</v>
      </c>
      <c r="C632" t="s">
        <v>35</v>
      </c>
      <c r="D632" t="s">
        <v>47</v>
      </c>
      <c r="E632" t="s">
        <v>52</v>
      </c>
      <c r="F632" t="s">
        <v>55</v>
      </c>
      <c r="G632">
        <v>107</v>
      </c>
      <c r="H632">
        <v>266.64999999999998</v>
      </c>
      <c r="I632">
        <v>28531.55</v>
      </c>
      <c r="J632">
        <v>20901.25</v>
      </c>
      <c r="K632">
        <v>7630.3</v>
      </c>
      <c r="L632" s="2">
        <v>45566</v>
      </c>
    </row>
    <row r="633" spans="1:12" x14ac:dyDescent="0.3">
      <c r="A633" t="s">
        <v>14</v>
      </c>
      <c r="B633" t="s">
        <v>18</v>
      </c>
      <c r="C633" t="s">
        <v>34</v>
      </c>
      <c r="D633" t="s">
        <v>36</v>
      </c>
      <c r="E633" t="s">
        <v>52</v>
      </c>
      <c r="F633" t="s">
        <v>53</v>
      </c>
      <c r="G633">
        <v>178</v>
      </c>
      <c r="H633">
        <v>10</v>
      </c>
      <c r="I633">
        <v>1780</v>
      </c>
      <c r="J633">
        <v>1253.3699999999999</v>
      </c>
      <c r="K633">
        <v>526.63</v>
      </c>
      <c r="L633" s="2">
        <v>45566</v>
      </c>
    </row>
    <row r="634" spans="1:12" x14ac:dyDescent="0.3">
      <c r="A634" t="s">
        <v>14</v>
      </c>
      <c r="B634" t="s">
        <v>32</v>
      </c>
      <c r="C634" t="s">
        <v>35</v>
      </c>
      <c r="D634" t="s">
        <v>41</v>
      </c>
      <c r="E634" t="s">
        <v>52</v>
      </c>
      <c r="F634" t="s">
        <v>55</v>
      </c>
      <c r="G634">
        <v>381</v>
      </c>
      <c r="H634">
        <v>276.27999999999997</v>
      </c>
      <c r="I634">
        <v>105262.68</v>
      </c>
      <c r="J634">
        <v>66072.03</v>
      </c>
      <c r="K634">
        <v>39190.65</v>
      </c>
      <c r="L634" s="2">
        <v>45566</v>
      </c>
    </row>
    <row r="635" spans="1:12" x14ac:dyDescent="0.3">
      <c r="A635" t="s">
        <v>16</v>
      </c>
      <c r="B635" t="s">
        <v>24</v>
      </c>
      <c r="C635" t="s">
        <v>34</v>
      </c>
      <c r="D635" t="s">
        <v>45</v>
      </c>
      <c r="E635" t="s">
        <v>48</v>
      </c>
      <c r="F635" t="s">
        <v>53</v>
      </c>
      <c r="G635">
        <v>30</v>
      </c>
      <c r="H635">
        <v>164.4</v>
      </c>
      <c r="I635">
        <v>4932</v>
      </c>
      <c r="J635">
        <v>3466.08</v>
      </c>
      <c r="K635">
        <v>1465.92</v>
      </c>
      <c r="L635" s="2">
        <v>45566</v>
      </c>
    </row>
    <row r="636" spans="1:12" x14ac:dyDescent="0.3">
      <c r="A636" t="s">
        <v>16</v>
      </c>
      <c r="B636" t="s">
        <v>28</v>
      </c>
      <c r="C636" t="s">
        <v>34</v>
      </c>
      <c r="D636" t="s">
        <v>43</v>
      </c>
      <c r="E636" t="s">
        <v>49</v>
      </c>
      <c r="F636" t="s">
        <v>54</v>
      </c>
      <c r="G636">
        <v>281</v>
      </c>
      <c r="H636">
        <v>234.15</v>
      </c>
      <c r="I636">
        <v>65796.149999999994</v>
      </c>
      <c r="J636">
        <v>48052.51</v>
      </c>
      <c r="K636">
        <v>17743.64</v>
      </c>
      <c r="L636" s="2">
        <v>45566</v>
      </c>
    </row>
    <row r="637" spans="1:12" x14ac:dyDescent="0.3">
      <c r="A637" t="s">
        <v>16</v>
      </c>
      <c r="B637" t="s">
        <v>24</v>
      </c>
      <c r="C637" t="s">
        <v>35</v>
      </c>
      <c r="D637" t="s">
        <v>44</v>
      </c>
      <c r="E637" t="s">
        <v>48</v>
      </c>
      <c r="F637" t="s">
        <v>54</v>
      </c>
      <c r="G637">
        <v>481</v>
      </c>
      <c r="H637">
        <v>108.1</v>
      </c>
      <c r="I637">
        <v>51996.1</v>
      </c>
      <c r="J637">
        <v>35210.44</v>
      </c>
      <c r="K637">
        <v>16785.66</v>
      </c>
      <c r="L637" s="2">
        <v>45566</v>
      </c>
    </row>
    <row r="638" spans="1:12" x14ac:dyDescent="0.3">
      <c r="A638" t="s">
        <v>15</v>
      </c>
      <c r="B638" t="s">
        <v>33</v>
      </c>
      <c r="C638" t="s">
        <v>35</v>
      </c>
      <c r="D638" t="s">
        <v>47</v>
      </c>
      <c r="E638" t="s">
        <v>49</v>
      </c>
      <c r="F638" t="s">
        <v>53</v>
      </c>
      <c r="G638">
        <v>347</v>
      </c>
      <c r="H638">
        <v>268.64</v>
      </c>
      <c r="I638">
        <v>93218.08</v>
      </c>
      <c r="J638">
        <v>66040.75</v>
      </c>
      <c r="K638">
        <v>27177.33</v>
      </c>
      <c r="L638" s="2">
        <v>45566</v>
      </c>
    </row>
    <row r="639" spans="1:12" x14ac:dyDescent="0.3">
      <c r="A639" t="s">
        <v>15</v>
      </c>
      <c r="B639" t="s">
        <v>20</v>
      </c>
      <c r="C639" t="s">
        <v>35</v>
      </c>
      <c r="D639" t="s">
        <v>46</v>
      </c>
      <c r="E639" t="s">
        <v>49</v>
      </c>
      <c r="F639" t="s">
        <v>53</v>
      </c>
      <c r="G639">
        <v>148</v>
      </c>
      <c r="H639">
        <v>173.36</v>
      </c>
      <c r="I639">
        <v>25657.279999999999</v>
      </c>
      <c r="J639">
        <v>18136.5</v>
      </c>
      <c r="K639">
        <v>7520.78</v>
      </c>
      <c r="L639" s="2">
        <v>45566</v>
      </c>
    </row>
    <row r="640" spans="1:12" x14ac:dyDescent="0.3">
      <c r="A640" t="s">
        <v>14</v>
      </c>
      <c r="B640" t="s">
        <v>18</v>
      </c>
      <c r="C640" t="s">
        <v>35</v>
      </c>
      <c r="D640" t="s">
        <v>41</v>
      </c>
      <c r="E640" t="s">
        <v>48</v>
      </c>
      <c r="F640" t="s">
        <v>53</v>
      </c>
      <c r="G640">
        <v>167</v>
      </c>
      <c r="H640">
        <v>264.61</v>
      </c>
      <c r="I640">
        <v>44189.87</v>
      </c>
      <c r="J640">
        <v>36103.75</v>
      </c>
      <c r="K640">
        <v>8086.12</v>
      </c>
      <c r="L640" s="2">
        <v>45566</v>
      </c>
    </row>
    <row r="641" spans="1:12" x14ac:dyDescent="0.3">
      <c r="A641" t="s">
        <v>15</v>
      </c>
      <c r="B641" t="s">
        <v>33</v>
      </c>
      <c r="C641" t="s">
        <v>35</v>
      </c>
      <c r="D641" t="s">
        <v>47</v>
      </c>
      <c r="E641" t="s">
        <v>51</v>
      </c>
      <c r="F641" t="s">
        <v>53</v>
      </c>
      <c r="G641">
        <v>86</v>
      </c>
      <c r="H641">
        <v>93.72</v>
      </c>
      <c r="I641">
        <v>8059.92</v>
      </c>
      <c r="J641">
        <v>5055.8100000000004</v>
      </c>
      <c r="K641">
        <v>3004.11</v>
      </c>
      <c r="L641" s="2">
        <v>45566</v>
      </c>
    </row>
    <row r="642" spans="1:12" x14ac:dyDescent="0.3">
      <c r="A642" t="s">
        <v>16</v>
      </c>
      <c r="B642" t="s">
        <v>22</v>
      </c>
      <c r="C642" t="s">
        <v>35</v>
      </c>
      <c r="D642" t="s">
        <v>41</v>
      </c>
      <c r="E642" t="s">
        <v>52</v>
      </c>
      <c r="F642" t="s">
        <v>54</v>
      </c>
      <c r="G642">
        <v>78</v>
      </c>
      <c r="H642">
        <v>199.71</v>
      </c>
      <c r="I642">
        <v>15577.38</v>
      </c>
      <c r="J642">
        <v>10117.89</v>
      </c>
      <c r="K642">
        <v>5459.49</v>
      </c>
      <c r="L642" s="2">
        <v>45566</v>
      </c>
    </row>
    <row r="643" spans="1:12" x14ac:dyDescent="0.3">
      <c r="A643" t="s">
        <v>14</v>
      </c>
      <c r="B643" t="s">
        <v>19</v>
      </c>
      <c r="C643" t="s">
        <v>35</v>
      </c>
      <c r="D643" t="s">
        <v>40</v>
      </c>
      <c r="E643" t="s">
        <v>48</v>
      </c>
      <c r="F643" t="s">
        <v>53</v>
      </c>
      <c r="G643">
        <v>134</v>
      </c>
      <c r="H643">
        <v>182.03</v>
      </c>
      <c r="I643">
        <v>24392.02</v>
      </c>
      <c r="J643">
        <v>20076.48</v>
      </c>
      <c r="K643">
        <v>4315.54</v>
      </c>
      <c r="L643" s="2">
        <v>45566</v>
      </c>
    </row>
    <row r="644" spans="1:12" x14ac:dyDescent="0.3">
      <c r="A644" t="s">
        <v>14</v>
      </c>
      <c r="B644" t="s">
        <v>23</v>
      </c>
      <c r="C644" t="s">
        <v>34</v>
      </c>
      <c r="D644" t="s">
        <v>38</v>
      </c>
      <c r="E644" t="s">
        <v>49</v>
      </c>
      <c r="F644" t="s">
        <v>55</v>
      </c>
      <c r="G644">
        <v>302</v>
      </c>
      <c r="H644">
        <v>110.32</v>
      </c>
      <c r="I644">
        <v>33316.639999999999</v>
      </c>
      <c r="J644">
        <v>23080.43</v>
      </c>
      <c r="K644">
        <v>10236.209999999999</v>
      </c>
      <c r="L644" s="2">
        <v>45566</v>
      </c>
    </row>
    <row r="645" spans="1:12" x14ac:dyDescent="0.3">
      <c r="A645" t="s">
        <v>15</v>
      </c>
      <c r="B645" t="s">
        <v>33</v>
      </c>
      <c r="C645" t="s">
        <v>35</v>
      </c>
      <c r="D645" t="s">
        <v>39</v>
      </c>
      <c r="E645" t="s">
        <v>49</v>
      </c>
      <c r="F645" t="s">
        <v>54</v>
      </c>
      <c r="G645">
        <v>131</v>
      </c>
      <c r="H645">
        <v>207.09</v>
      </c>
      <c r="I645">
        <v>27128.79</v>
      </c>
      <c r="J645">
        <v>16794.34</v>
      </c>
      <c r="K645">
        <v>10334.450000000001</v>
      </c>
      <c r="L645" s="2">
        <v>45566</v>
      </c>
    </row>
    <row r="646" spans="1:12" x14ac:dyDescent="0.3">
      <c r="A646" t="s">
        <v>16</v>
      </c>
      <c r="B646" t="s">
        <v>25</v>
      </c>
      <c r="C646" t="s">
        <v>35</v>
      </c>
      <c r="D646" t="s">
        <v>42</v>
      </c>
      <c r="E646" t="s">
        <v>50</v>
      </c>
      <c r="F646" t="s">
        <v>55</v>
      </c>
      <c r="G646">
        <v>431</v>
      </c>
      <c r="H646">
        <v>189.01</v>
      </c>
      <c r="I646">
        <v>81463.31</v>
      </c>
      <c r="J646">
        <v>68845.919999999998</v>
      </c>
      <c r="K646">
        <v>12617.39</v>
      </c>
      <c r="L646" s="2">
        <v>45566</v>
      </c>
    </row>
    <row r="647" spans="1:12" x14ac:dyDescent="0.3">
      <c r="A647" t="s">
        <v>16</v>
      </c>
      <c r="B647" t="s">
        <v>24</v>
      </c>
      <c r="C647" t="s">
        <v>35</v>
      </c>
      <c r="D647" t="s">
        <v>44</v>
      </c>
      <c r="E647" t="s">
        <v>49</v>
      </c>
      <c r="F647" t="s">
        <v>55</v>
      </c>
      <c r="G647">
        <v>118</v>
      </c>
      <c r="H647">
        <v>66.44</v>
      </c>
      <c r="I647">
        <v>7839.92</v>
      </c>
      <c r="J647">
        <v>4816.9399999999996</v>
      </c>
      <c r="K647">
        <v>3022.98</v>
      </c>
      <c r="L647" s="2">
        <v>45566</v>
      </c>
    </row>
    <row r="648" spans="1:12" x14ac:dyDescent="0.3">
      <c r="A648" t="s">
        <v>14</v>
      </c>
      <c r="B648" t="s">
        <v>19</v>
      </c>
      <c r="C648" t="s">
        <v>34</v>
      </c>
      <c r="D648" t="s">
        <v>38</v>
      </c>
      <c r="E648" t="s">
        <v>51</v>
      </c>
      <c r="F648" t="s">
        <v>55</v>
      </c>
      <c r="G648">
        <v>161</v>
      </c>
      <c r="H648">
        <v>20.32</v>
      </c>
      <c r="I648">
        <v>3271.52</v>
      </c>
      <c r="J648">
        <v>2378.87</v>
      </c>
      <c r="K648">
        <v>892.65</v>
      </c>
      <c r="L648" s="2">
        <v>45566</v>
      </c>
    </row>
    <row r="649" spans="1:12" x14ac:dyDescent="0.3">
      <c r="A649" t="s">
        <v>16</v>
      </c>
      <c r="B649" t="s">
        <v>22</v>
      </c>
      <c r="C649" t="s">
        <v>35</v>
      </c>
      <c r="D649" t="s">
        <v>40</v>
      </c>
      <c r="E649" t="s">
        <v>49</v>
      </c>
      <c r="F649" t="s">
        <v>55</v>
      </c>
      <c r="G649">
        <v>444</v>
      </c>
      <c r="H649">
        <v>113.29</v>
      </c>
      <c r="I649">
        <v>50300.76</v>
      </c>
      <c r="J649">
        <v>40577.81</v>
      </c>
      <c r="K649">
        <v>9722.9500000000007</v>
      </c>
      <c r="L649" s="2">
        <v>45566</v>
      </c>
    </row>
    <row r="650" spans="1:12" x14ac:dyDescent="0.3">
      <c r="A650" t="s">
        <v>15</v>
      </c>
      <c r="B650" t="s">
        <v>20</v>
      </c>
      <c r="C650" t="s">
        <v>35</v>
      </c>
      <c r="D650" t="s">
        <v>42</v>
      </c>
      <c r="E650" t="s">
        <v>48</v>
      </c>
      <c r="F650" t="s">
        <v>54</v>
      </c>
      <c r="G650">
        <v>215</v>
      </c>
      <c r="H650">
        <v>229.42</v>
      </c>
      <c r="I650">
        <v>49325.3</v>
      </c>
      <c r="J650">
        <v>32785.15</v>
      </c>
      <c r="K650">
        <v>16540.150000000001</v>
      </c>
      <c r="L650" s="2">
        <v>45566</v>
      </c>
    </row>
    <row r="651" spans="1:12" x14ac:dyDescent="0.3">
      <c r="A651" t="s">
        <v>16</v>
      </c>
      <c r="B651" t="s">
        <v>24</v>
      </c>
      <c r="C651" t="s">
        <v>35</v>
      </c>
      <c r="D651" t="s">
        <v>46</v>
      </c>
      <c r="E651" t="s">
        <v>50</v>
      </c>
      <c r="F651" t="s">
        <v>54</v>
      </c>
      <c r="G651">
        <v>312</v>
      </c>
      <c r="H651">
        <v>131.96</v>
      </c>
      <c r="I651">
        <v>41171.519999999997</v>
      </c>
      <c r="J651">
        <v>32779.410000000003</v>
      </c>
      <c r="K651">
        <v>8392.11</v>
      </c>
      <c r="L651" s="2">
        <v>45566</v>
      </c>
    </row>
    <row r="652" spans="1:12" x14ac:dyDescent="0.3">
      <c r="A652" t="s">
        <v>16</v>
      </c>
      <c r="B652" t="s">
        <v>25</v>
      </c>
      <c r="C652" t="s">
        <v>34</v>
      </c>
      <c r="D652" t="s">
        <v>37</v>
      </c>
      <c r="E652" t="s">
        <v>49</v>
      </c>
      <c r="F652" t="s">
        <v>54</v>
      </c>
      <c r="G652">
        <v>96</v>
      </c>
      <c r="H652">
        <v>128.02000000000001</v>
      </c>
      <c r="I652">
        <v>12289.92</v>
      </c>
      <c r="J652">
        <v>10113.01</v>
      </c>
      <c r="K652">
        <v>2176.91</v>
      </c>
      <c r="L652" s="2">
        <v>45566</v>
      </c>
    </row>
    <row r="653" spans="1:12" x14ac:dyDescent="0.3">
      <c r="A653" t="s">
        <v>15</v>
      </c>
      <c r="B653" t="s">
        <v>21</v>
      </c>
      <c r="C653" t="s">
        <v>35</v>
      </c>
      <c r="D653" t="s">
        <v>42</v>
      </c>
      <c r="E653" t="s">
        <v>52</v>
      </c>
      <c r="F653" t="s">
        <v>53</v>
      </c>
      <c r="G653">
        <v>368</v>
      </c>
      <c r="H653">
        <v>10.93</v>
      </c>
      <c r="I653">
        <v>4022.24</v>
      </c>
      <c r="J653">
        <v>3036.38</v>
      </c>
      <c r="K653">
        <v>985.86</v>
      </c>
      <c r="L653" s="2">
        <v>45566</v>
      </c>
    </row>
    <row r="654" spans="1:12" x14ac:dyDescent="0.3">
      <c r="A654" t="s">
        <v>16</v>
      </c>
      <c r="B654" t="s">
        <v>22</v>
      </c>
      <c r="C654" t="s">
        <v>34</v>
      </c>
      <c r="D654" t="s">
        <v>37</v>
      </c>
      <c r="E654" t="s">
        <v>50</v>
      </c>
      <c r="F654" t="s">
        <v>55</v>
      </c>
      <c r="G654">
        <v>281</v>
      </c>
      <c r="H654">
        <v>32.75</v>
      </c>
      <c r="I654">
        <v>9202.75</v>
      </c>
      <c r="J654">
        <v>6774.37</v>
      </c>
      <c r="K654">
        <v>2428.38</v>
      </c>
      <c r="L654" s="2">
        <v>45566</v>
      </c>
    </row>
    <row r="655" spans="1:12" x14ac:dyDescent="0.3">
      <c r="A655" t="s">
        <v>16</v>
      </c>
      <c r="B655" t="s">
        <v>28</v>
      </c>
      <c r="C655" t="s">
        <v>35</v>
      </c>
      <c r="D655" t="s">
        <v>46</v>
      </c>
      <c r="E655" t="s">
        <v>48</v>
      </c>
      <c r="F655" t="s">
        <v>55</v>
      </c>
      <c r="G655">
        <v>322</v>
      </c>
      <c r="H655">
        <v>153.4</v>
      </c>
      <c r="I655">
        <v>49394.8</v>
      </c>
      <c r="J655">
        <v>41733.06</v>
      </c>
      <c r="K655">
        <v>7661.74</v>
      </c>
      <c r="L655" s="2">
        <v>45566</v>
      </c>
    </row>
    <row r="656" spans="1:12" x14ac:dyDescent="0.3">
      <c r="A656" t="s">
        <v>16</v>
      </c>
      <c r="B656" t="s">
        <v>28</v>
      </c>
      <c r="C656" t="s">
        <v>35</v>
      </c>
      <c r="D656" t="s">
        <v>47</v>
      </c>
      <c r="E656" t="s">
        <v>48</v>
      </c>
      <c r="F656" t="s">
        <v>53</v>
      </c>
      <c r="G656">
        <v>125</v>
      </c>
      <c r="H656">
        <v>27.44</v>
      </c>
      <c r="I656">
        <v>3430</v>
      </c>
      <c r="J656">
        <v>2540.17</v>
      </c>
      <c r="K656">
        <v>889.83</v>
      </c>
      <c r="L656" s="2">
        <v>45566</v>
      </c>
    </row>
    <row r="657" spans="1:12" x14ac:dyDescent="0.3">
      <c r="A657" t="s">
        <v>14</v>
      </c>
      <c r="B657" t="s">
        <v>18</v>
      </c>
      <c r="C657" t="s">
        <v>35</v>
      </c>
      <c r="D657" t="s">
        <v>44</v>
      </c>
      <c r="E657" t="s">
        <v>49</v>
      </c>
      <c r="F657" t="s">
        <v>54</v>
      </c>
      <c r="G657">
        <v>226</v>
      </c>
      <c r="H657">
        <v>259.44</v>
      </c>
      <c r="I657">
        <v>58633.440000000002</v>
      </c>
      <c r="J657">
        <v>46611.4</v>
      </c>
      <c r="K657">
        <v>12022.04</v>
      </c>
      <c r="L657" s="2">
        <v>45597</v>
      </c>
    </row>
    <row r="658" spans="1:12" x14ac:dyDescent="0.3">
      <c r="A658" t="s">
        <v>16</v>
      </c>
      <c r="B658" t="s">
        <v>28</v>
      </c>
      <c r="C658" t="s">
        <v>35</v>
      </c>
      <c r="D658" t="s">
        <v>46</v>
      </c>
      <c r="E658" t="s">
        <v>51</v>
      </c>
      <c r="F658" t="s">
        <v>54</v>
      </c>
      <c r="G658">
        <v>172</v>
      </c>
      <c r="H658">
        <v>47.25</v>
      </c>
      <c r="I658">
        <v>8127</v>
      </c>
      <c r="J658">
        <v>5451.88</v>
      </c>
      <c r="K658">
        <v>2675.12</v>
      </c>
      <c r="L658" s="2">
        <v>45597</v>
      </c>
    </row>
    <row r="659" spans="1:12" x14ac:dyDescent="0.3">
      <c r="A659" t="s">
        <v>15</v>
      </c>
      <c r="B659" t="s">
        <v>21</v>
      </c>
      <c r="C659" t="s">
        <v>34</v>
      </c>
      <c r="D659" t="s">
        <v>37</v>
      </c>
      <c r="E659" t="s">
        <v>51</v>
      </c>
      <c r="F659" t="s">
        <v>54</v>
      </c>
      <c r="G659">
        <v>150</v>
      </c>
      <c r="H659">
        <v>10.130000000000001</v>
      </c>
      <c r="I659">
        <v>1519.5</v>
      </c>
      <c r="J659">
        <v>1254.1099999999999</v>
      </c>
      <c r="K659">
        <v>265.39</v>
      </c>
      <c r="L659" s="2">
        <v>45597</v>
      </c>
    </row>
    <row r="660" spans="1:12" x14ac:dyDescent="0.3">
      <c r="A660" t="s">
        <v>14</v>
      </c>
      <c r="B660" t="s">
        <v>32</v>
      </c>
      <c r="C660" t="s">
        <v>34</v>
      </c>
      <c r="D660" t="s">
        <v>38</v>
      </c>
      <c r="E660" t="s">
        <v>51</v>
      </c>
      <c r="F660" t="s">
        <v>54</v>
      </c>
      <c r="G660">
        <v>314</v>
      </c>
      <c r="H660">
        <v>168.25</v>
      </c>
      <c r="I660">
        <v>52830.5</v>
      </c>
      <c r="J660">
        <v>37568.03</v>
      </c>
      <c r="K660">
        <v>15262.47</v>
      </c>
      <c r="L660" s="2">
        <v>45597</v>
      </c>
    </row>
    <row r="661" spans="1:12" x14ac:dyDescent="0.3">
      <c r="A661" t="s">
        <v>14</v>
      </c>
      <c r="B661" t="s">
        <v>19</v>
      </c>
      <c r="C661" t="s">
        <v>35</v>
      </c>
      <c r="D661" t="s">
        <v>39</v>
      </c>
      <c r="E661" t="s">
        <v>48</v>
      </c>
      <c r="F661" t="s">
        <v>55</v>
      </c>
      <c r="G661">
        <v>332</v>
      </c>
      <c r="H661">
        <v>77.010000000000005</v>
      </c>
      <c r="I661">
        <v>25567.32</v>
      </c>
      <c r="J661">
        <v>19635.02</v>
      </c>
      <c r="K661">
        <v>5932.3</v>
      </c>
      <c r="L661" s="2">
        <v>45597</v>
      </c>
    </row>
    <row r="662" spans="1:12" x14ac:dyDescent="0.3">
      <c r="A662" t="s">
        <v>16</v>
      </c>
      <c r="B662" t="s">
        <v>22</v>
      </c>
      <c r="C662" t="s">
        <v>34</v>
      </c>
      <c r="D662" t="s">
        <v>45</v>
      </c>
      <c r="E662" t="s">
        <v>50</v>
      </c>
      <c r="F662" t="s">
        <v>55</v>
      </c>
      <c r="G662">
        <v>371</v>
      </c>
      <c r="H662">
        <v>291.74</v>
      </c>
      <c r="I662">
        <v>108235.54</v>
      </c>
      <c r="J662">
        <v>73907.199999999997</v>
      </c>
      <c r="K662">
        <v>34328.339999999997</v>
      </c>
      <c r="L662" s="2">
        <v>45597</v>
      </c>
    </row>
    <row r="663" spans="1:12" x14ac:dyDescent="0.3">
      <c r="A663" t="s">
        <v>15</v>
      </c>
      <c r="B663" t="s">
        <v>21</v>
      </c>
      <c r="C663" t="s">
        <v>34</v>
      </c>
      <c r="D663" t="s">
        <v>36</v>
      </c>
      <c r="E663" t="s">
        <v>50</v>
      </c>
      <c r="F663" t="s">
        <v>54</v>
      </c>
      <c r="G663">
        <v>414</v>
      </c>
      <c r="H663">
        <v>172.43</v>
      </c>
      <c r="I663">
        <v>71386.02</v>
      </c>
      <c r="J663">
        <v>56764.95</v>
      </c>
      <c r="K663">
        <v>14621.07</v>
      </c>
      <c r="L663" s="2">
        <v>45597</v>
      </c>
    </row>
    <row r="664" spans="1:12" x14ac:dyDescent="0.3">
      <c r="A664" t="s">
        <v>14</v>
      </c>
      <c r="B664" t="s">
        <v>32</v>
      </c>
      <c r="C664" t="s">
        <v>34</v>
      </c>
      <c r="D664" t="s">
        <v>37</v>
      </c>
      <c r="E664" t="s">
        <v>51</v>
      </c>
      <c r="F664" t="s">
        <v>54</v>
      </c>
      <c r="G664">
        <v>374</v>
      </c>
      <c r="H664">
        <v>291.89</v>
      </c>
      <c r="I664">
        <v>109166.86</v>
      </c>
      <c r="J664">
        <v>71735.91</v>
      </c>
      <c r="K664">
        <v>37430.949999999997</v>
      </c>
      <c r="L664" s="2">
        <v>45597</v>
      </c>
    </row>
    <row r="665" spans="1:12" x14ac:dyDescent="0.3">
      <c r="A665" t="s">
        <v>16</v>
      </c>
      <c r="B665" t="s">
        <v>28</v>
      </c>
      <c r="C665" t="s">
        <v>34</v>
      </c>
      <c r="D665" t="s">
        <v>38</v>
      </c>
      <c r="E665" t="s">
        <v>51</v>
      </c>
      <c r="F665" t="s">
        <v>54</v>
      </c>
      <c r="G665">
        <v>410</v>
      </c>
      <c r="H665">
        <v>52.97</v>
      </c>
      <c r="I665">
        <v>21717.7</v>
      </c>
      <c r="J665">
        <v>16720.189999999999</v>
      </c>
      <c r="K665">
        <v>4997.51</v>
      </c>
      <c r="L665" s="2">
        <v>45597</v>
      </c>
    </row>
    <row r="666" spans="1:12" x14ac:dyDescent="0.3">
      <c r="A666" t="s">
        <v>13</v>
      </c>
      <c r="B666" t="s">
        <v>30</v>
      </c>
      <c r="C666" t="s">
        <v>34</v>
      </c>
      <c r="D666" t="s">
        <v>36</v>
      </c>
      <c r="E666" t="s">
        <v>49</v>
      </c>
      <c r="F666" t="s">
        <v>55</v>
      </c>
      <c r="G666">
        <v>365</v>
      </c>
      <c r="H666">
        <v>189.4</v>
      </c>
      <c r="I666">
        <v>69131</v>
      </c>
      <c r="J666">
        <v>54487.61</v>
      </c>
      <c r="K666">
        <v>14643.39</v>
      </c>
      <c r="L666" s="2">
        <v>45597</v>
      </c>
    </row>
    <row r="667" spans="1:12" x14ac:dyDescent="0.3">
      <c r="A667" t="s">
        <v>14</v>
      </c>
      <c r="B667" t="s">
        <v>19</v>
      </c>
      <c r="C667" t="s">
        <v>34</v>
      </c>
      <c r="D667" t="s">
        <v>38</v>
      </c>
      <c r="E667" t="s">
        <v>50</v>
      </c>
      <c r="F667" t="s">
        <v>54</v>
      </c>
      <c r="G667">
        <v>134</v>
      </c>
      <c r="H667">
        <v>272.70999999999998</v>
      </c>
      <c r="I667">
        <v>36543.14</v>
      </c>
      <c r="J667">
        <v>28959.93</v>
      </c>
      <c r="K667">
        <v>7583.21</v>
      </c>
      <c r="L667" s="2">
        <v>45597</v>
      </c>
    </row>
    <row r="668" spans="1:12" x14ac:dyDescent="0.3">
      <c r="A668" t="s">
        <v>14</v>
      </c>
      <c r="B668" t="s">
        <v>19</v>
      </c>
      <c r="C668" t="s">
        <v>34</v>
      </c>
      <c r="D668" t="s">
        <v>37</v>
      </c>
      <c r="E668" t="s">
        <v>49</v>
      </c>
      <c r="F668" t="s">
        <v>53</v>
      </c>
      <c r="G668">
        <v>466</v>
      </c>
      <c r="H668">
        <v>117.93</v>
      </c>
      <c r="I668">
        <v>54955.38</v>
      </c>
      <c r="J668">
        <v>38909.47</v>
      </c>
      <c r="K668">
        <v>16045.91</v>
      </c>
      <c r="L668" s="2">
        <v>45597</v>
      </c>
    </row>
    <row r="669" spans="1:12" x14ac:dyDescent="0.3">
      <c r="A669" t="s">
        <v>13</v>
      </c>
      <c r="B669" t="s">
        <v>30</v>
      </c>
      <c r="C669" t="s">
        <v>35</v>
      </c>
      <c r="D669" t="s">
        <v>47</v>
      </c>
      <c r="E669" t="s">
        <v>52</v>
      </c>
      <c r="F669" t="s">
        <v>55</v>
      </c>
      <c r="G669">
        <v>349</v>
      </c>
      <c r="H669">
        <v>223.9</v>
      </c>
      <c r="I669">
        <v>78141.100000000006</v>
      </c>
      <c r="J669">
        <v>51549.24</v>
      </c>
      <c r="K669">
        <v>26591.86</v>
      </c>
      <c r="L669" s="2">
        <v>45597</v>
      </c>
    </row>
    <row r="670" spans="1:12" x14ac:dyDescent="0.3">
      <c r="A670" t="s">
        <v>14</v>
      </c>
      <c r="B670" t="s">
        <v>32</v>
      </c>
      <c r="C670" t="s">
        <v>34</v>
      </c>
      <c r="D670" t="s">
        <v>43</v>
      </c>
      <c r="E670" t="s">
        <v>50</v>
      </c>
      <c r="F670" t="s">
        <v>54</v>
      </c>
      <c r="G670">
        <v>192</v>
      </c>
      <c r="H670">
        <v>223.3</v>
      </c>
      <c r="I670">
        <v>42873.599999999999</v>
      </c>
      <c r="J670">
        <v>28252.18</v>
      </c>
      <c r="K670">
        <v>14621.42</v>
      </c>
      <c r="L670" s="2">
        <v>45597</v>
      </c>
    </row>
    <row r="671" spans="1:12" x14ac:dyDescent="0.3">
      <c r="A671" t="s">
        <v>16</v>
      </c>
      <c r="B671" t="s">
        <v>25</v>
      </c>
      <c r="C671" t="s">
        <v>34</v>
      </c>
      <c r="D671" t="s">
        <v>36</v>
      </c>
      <c r="E671" t="s">
        <v>48</v>
      </c>
      <c r="F671" t="s">
        <v>55</v>
      </c>
      <c r="G671">
        <v>301</v>
      </c>
      <c r="H671">
        <v>243.8</v>
      </c>
      <c r="I671">
        <v>73383.8</v>
      </c>
      <c r="J671">
        <v>57757.81</v>
      </c>
      <c r="K671">
        <v>15625.99</v>
      </c>
      <c r="L671" s="2">
        <v>45597</v>
      </c>
    </row>
    <row r="672" spans="1:12" x14ac:dyDescent="0.3">
      <c r="A672" t="s">
        <v>14</v>
      </c>
      <c r="B672" t="s">
        <v>32</v>
      </c>
      <c r="C672" t="s">
        <v>35</v>
      </c>
      <c r="D672" t="s">
        <v>44</v>
      </c>
      <c r="E672" t="s">
        <v>49</v>
      </c>
      <c r="F672" t="s">
        <v>53</v>
      </c>
      <c r="G672">
        <v>283</v>
      </c>
      <c r="H672">
        <v>207.33</v>
      </c>
      <c r="I672">
        <v>58674.39</v>
      </c>
      <c r="J672">
        <v>41006.730000000003</v>
      </c>
      <c r="K672">
        <v>17667.66</v>
      </c>
      <c r="L672" s="2">
        <v>45597</v>
      </c>
    </row>
    <row r="673" spans="1:12" x14ac:dyDescent="0.3">
      <c r="A673" t="s">
        <v>13</v>
      </c>
      <c r="B673" t="s">
        <v>27</v>
      </c>
      <c r="C673" t="s">
        <v>35</v>
      </c>
      <c r="D673" t="s">
        <v>46</v>
      </c>
      <c r="E673" t="s">
        <v>50</v>
      </c>
      <c r="F673" t="s">
        <v>53</v>
      </c>
      <c r="G673">
        <v>302</v>
      </c>
      <c r="H673">
        <v>15.33</v>
      </c>
      <c r="I673">
        <v>4629.66</v>
      </c>
      <c r="J673">
        <v>3836.02</v>
      </c>
      <c r="K673">
        <v>793.64</v>
      </c>
      <c r="L673" s="2">
        <v>45597</v>
      </c>
    </row>
    <row r="674" spans="1:12" x14ac:dyDescent="0.3">
      <c r="A674" t="s">
        <v>13</v>
      </c>
      <c r="B674" t="s">
        <v>30</v>
      </c>
      <c r="C674" t="s">
        <v>35</v>
      </c>
      <c r="D674" t="s">
        <v>40</v>
      </c>
      <c r="E674" t="s">
        <v>48</v>
      </c>
      <c r="F674" t="s">
        <v>54</v>
      </c>
      <c r="G674">
        <v>48</v>
      </c>
      <c r="H674">
        <v>56.62</v>
      </c>
      <c r="I674">
        <v>2717.76</v>
      </c>
      <c r="J674">
        <v>2186.42</v>
      </c>
      <c r="K674">
        <v>531.34</v>
      </c>
      <c r="L674" s="2">
        <v>45597</v>
      </c>
    </row>
    <row r="675" spans="1:12" x14ac:dyDescent="0.3">
      <c r="A675" t="s">
        <v>16</v>
      </c>
      <c r="B675" t="s">
        <v>22</v>
      </c>
      <c r="C675" t="s">
        <v>35</v>
      </c>
      <c r="D675" t="s">
        <v>47</v>
      </c>
      <c r="E675" t="s">
        <v>52</v>
      </c>
      <c r="F675" t="s">
        <v>54</v>
      </c>
      <c r="G675">
        <v>416</v>
      </c>
      <c r="H675">
        <v>253.8</v>
      </c>
      <c r="I675">
        <v>105580.8</v>
      </c>
      <c r="J675">
        <v>82690.92</v>
      </c>
      <c r="K675">
        <v>22889.88</v>
      </c>
      <c r="L675" s="2">
        <v>45597</v>
      </c>
    </row>
    <row r="676" spans="1:12" x14ac:dyDescent="0.3">
      <c r="A676" t="s">
        <v>15</v>
      </c>
      <c r="B676" t="s">
        <v>29</v>
      </c>
      <c r="C676" t="s">
        <v>34</v>
      </c>
      <c r="D676" t="s">
        <v>37</v>
      </c>
      <c r="E676" t="s">
        <v>48</v>
      </c>
      <c r="F676" t="s">
        <v>55</v>
      </c>
      <c r="G676">
        <v>164</v>
      </c>
      <c r="H676">
        <v>18.46</v>
      </c>
      <c r="I676">
        <v>3027.44</v>
      </c>
      <c r="J676">
        <v>2180.4299999999998</v>
      </c>
      <c r="K676">
        <v>847.01</v>
      </c>
      <c r="L676" s="2">
        <v>45597</v>
      </c>
    </row>
    <row r="677" spans="1:12" x14ac:dyDescent="0.3">
      <c r="A677" t="s">
        <v>13</v>
      </c>
      <c r="B677" t="s">
        <v>17</v>
      </c>
      <c r="C677" t="s">
        <v>35</v>
      </c>
      <c r="D677" t="s">
        <v>39</v>
      </c>
      <c r="E677" t="s">
        <v>52</v>
      </c>
      <c r="F677" t="s">
        <v>53</v>
      </c>
      <c r="G677">
        <v>299</v>
      </c>
      <c r="H677">
        <v>122.04</v>
      </c>
      <c r="I677">
        <v>36489.96</v>
      </c>
      <c r="J677">
        <v>26000.23</v>
      </c>
      <c r="K677">
        <v>10489.73</v>
      </c>
      <c r="L677" s="2">
        <v>45597</v>
      </c>
    </row>
    <row r="678" spans="1:12" x14ac:dyDescent="0.3">
      <c r="A678" t="s">
        <v>14</v>
      </c>
      <c r="B678" t="s">
        <v>18</v>
      </c>
      <c r="C678" t="s">
        <v>35</v>
      </c>
      <c r="D678" t="s">
        <v>42</v>
      </c>
      <c r="E678" t="s">
        <v>52</v>
      </c>
      <c r="F678" t="s">
        <v>53</v>
      </c>
      <c r="G678">
        <v>303</v>
      </c>
      <c r="H678">
        <v>164.46</v>
      </c>
      <c r="I678">
        <v>49831.38</v>
      </c>
      <c r="J678">
        <v>32919.49</v>
      </c>
      <c r="K678">
        <v>16911.89</v>
      </c>
      <c r="L678" s="2">
        <v>45597</v>
      </c>
    </row>
    <row r="679" spans="1:12" x14ac:dyDescent="0.3">
      <c r="A679" t="s">
        <v>15</v>
      </c>
      <c r="B679" t="s">
        <v>21</v>
      </c>
      <c r="C679" t="s">
        <v>35</v>
      </c>
      <c r="D679" t="s">
        <v>39</v>
      </c>
      <c r="E679" t="s">
        <v>49</v>
      </c>
      <c r="F679" t="s">
        <v>53</v>
      </c>
      <c r="G679">
        <v>82</v>
      </c>
      <c r="H679">
        <v>103.78</v>
      </c>
      <c r="I679">
        <v>8509.9599999999991</v>
      </c>
      <c r="J679">
        <v>5588.19</v>
      </c>
      <c r="K679">
        <v>2921.77</v>
      </c>
      <c r="L679" s="2">
        <v>45597</v>
      </c>
    </row>
    <row r="680" spans="1:12" x14ac:dyDescent="0.3">
      <c r="A680" t="s">
        <v>14</v>
      </c>
      <c r="B680" t="s">
        <v>23</v>
      </c>
      <c r="C680" t="s">
        <v>35</v>
      </c>
      <c r="D680" t="s">
        <v>41</v>
      </c>
      <c r="E680" t="s">
        <v>48</v>
      </c>
      <c r="F680" t="s">
        <v>53</v>
      </c>
      <c r="G680">
        <v>44</v>
      </c>
      <c r="H680">
        <v>267.64</v>
      </c>
      <c r="I680">
        <v>11776.16</v>
      </c>
      <c r="J680">
        <v>8840.7800000000007</v>
      </c>
      <c r="K680">
        <v>2935.38</v>
      </c>
      <c r="L680" s="2">
        <v>45597</v>
      </c>
    </row>
    <row r="681" spans="1:12" x14ac:dyDescent="0.3">
      <c r="A681" t="s">
        <v>15</v>
      </c>
      <c r="B681" t="s">
        <v>29</v>
      </c>
      <c r="C681" t="s">
        <v>34</v>
      </c>
      <c r="D681" t="s">
        <v>43</v>
      </c>
      <c r="E681" t="s">
        <v>52</v>
      </c>
      <c r="F681" t="s">
        <v>55</v>
      </c>
      <c r="G681">
        <v>227</v>
      </c>
      <c r="H681">
        <v>273.14</v>
      </c>
      <c r="I681">
        <v>62002.78</v>
      </c>
      <c r="J681">
        <v>40904.11</v>
      </c>
      <c r="K681">
        <v>21098.67</v>
      </c>
      <c r="L681" s="2">
        <v>45597</v>
      </c>
    </row>
    <row r="682" spans="1:12" x14ac:dyDescent="0.3">
      <c r="A682" t="s">
        <v>15</v>
      </c>
      <c r="B682" t="s">
        <v>29</v>
      </c>
      <c r="C682" t="s">
        <v>34</v>
      </c>
      <c r="D682" t="s">
        <v>38</v>
      </c>
      <c r="E682" t="s">
        <v>51</v>
      </c>
      <c r="F682" t="s">
        <v>55</v>
      </c>
      <c r="G682">
        <v>389</v>
      </c>
      <c r="H682">
        <v>92.62</v>
      </c>
      <c r="I682">
        <v>36029.18</v>
      </c>
      <c r="J682">
        <v>25786.55</v>
      </c>
      <c r="K682">
        <v>10242.629999999999</v>
      </c>
      <c r="L682" s="2">
        <v>45597</v>
      </c>
    </row>
    <row r="683" spans="1:12" x14ac:dyDescent="0.3">
      <c r="A683" t="s">
        <v>16</v>
      </c>
      <c r="B683" t="s">
        <v>22</v>
      </c>
      <c r="C683" t="s">
        <v>35</v>
      </c>
      <c r="D683" t="s">
        <v>46</v>
      </c>
      <c r="E683" t="s">
        <v>52</v>
      </c>
      <c r="F683" t="s">
        <v>54</v>
      </c>
      <c r="G683">
        <v>89</v>
      </c>
      <c r="H683">
        <v>263.14999999999998</v>
      </c>
      <c r="I683">
        <v>23420.35</v>
      </c>
      <c r="J683">
        <v>18339.45</v>
      </c>
      <c r="K683">
        <v>5080.8999999999996</v>
      </c>
      <c r="L683" s="2">
        <v>45597</v>
      </c>
    </row>
    <row r="684" spans="1:12" x14ac:dyDescent="0.3">
      <c r="A684" t="s">
        <v>15</v>
      </c>
      <c r="B684" t="s">
        <v>29</v>
      </c>
      <c r="C684" t="s">
        <v>35</v>
      </c>
      <c r="D684" t="s">
        <v>46</v>
      </c>
      <c r="E684" t="s">
        <v>48</v>
      </c>
      <c r="F684" t="s">
        <v>55</v>
      </c>
      <c r="G684">
        <v>28</v>
      </c>
      <c r="H684">
        <v>137.66</v>
      </c>
      <c r="I684">
        <v>3854.48</v>
      </c>
      <c r="J684">
        <v>2454.7800000000002</v>
      </c>
      <c r="K684">
        <v>1399.7</v>
      </c>
      <c r="L684" s="2">
        <v>45597</v>
      </c>
    </row>
    <row r="685" spans="1:12" x14ac:dyDescent="0.3">
      <c r="A685" t="s">
        <v>14</v>
      </c>
      <c r="B685" t="s">
        <v>19</v>
      </c>
      <c r="C685" t="s">
        <v>34</v>
      </c>
      <c r="D685" t="s">
        <v>43</v>
      </c>
      <c r="E685" t="s">
        <v>48</v>
      </c>
      <c r="F685" t="s">
        <v>55</v>
      </c>
      <c r="G685">
        <v>361</v>
      </c>
      <c r="H685">
        <v>233.55</v>
      </c>
      <c r="I685">
        <v>84311.55</v>
      </c>
      <c r="J685">
        <v>70553.97</v>
      </c>
      <c r="K685">
        <v>13757.58</v>
      </c>
      <c r="L685" s="2">
        <v>45597</v>
      </c>
    </row>
    <row r="686" spans="1:12" x14ac:dyDescent="0.3">
      <c r="A686" t="s">
        <v>15</v>
      </c>
      <c r="B686" t="s">
        <v>31</v>
      </c>
      <c r="C686" t="s">
        <v>35</v>
      </c>
      <c r="D686" t="s">
        <v>47</v>
      </c>
      <c r="E686" t="s">
        <v>48</v>
      </c>
      <c r="F686" t="s">
        <v>53</v>
      </c>
      <c r="G686">
        <v>379</v>
      </c>
      <c r="H686">
        <v>80.16</v>
      </c>
      <c r="I686">
        <v>30380.639999999999</v>
      </c>
      <c r="J686">
        <v>23650.97</v>
      </c>
      <c r="K686">
        <v>6729.67</v>
      </c>
      <c r="L686" s="2">
        <v>45597</v>
      </c>
    </row>
    <row r="687" spans="1:12" x14ac:dyDescent="0.3">
      <c r="A687" t="s">
        <v>15</v>
      </c>
      <c r="B687" t="s">
        <v>33</v>
      </c>
      <c r="C687" t="s">
        <v>34</v>
      </c>
      <c r="D687" t="s">
        <v>37</v>
      </c>
      <c r="E687" t="s">
        <v>51</v>
      </c>
      <c r="F687" t="s">
        <v>54</v>
      </c>
      <c r="G687">
        <v>347</v>
      </c>
      <c r="H687">
        <v>190.79</v>
      </c>
      <c r="I687">
        <v>66204.13</v>
      </c>
      <c r="J687">
        <v>49146.26</v>
      </c>
      <c r="K687">
        <v>17057.87</v>
      </c>
      <c r="L687" s="2">
        <v>45597</v>
      </c>
    </row>
    <row r="688" spans="1:12" x14ac:dyDescent="0.3">
      <c r="A688" t="s">
        <v>13</v>
      </c>
      <c r="B688" t="s">
        <v>17</v>
      </c>
      <c r="C688" t="s">
        <v>35</v>
      </c>
      <c r="D688" t="s">
        <v>42</v>
      </c>
      <c r="E688" t="s">
        <v>52</v>
      </c>
      <c r="F688" t="s">
        <v>54</v>
      </c>
      <c r="G688">
        <v>485</v>
      </c>
      <c r="H688">
        <v>162.38</v>
      </c>
      <c r="I688">
        <v>78754.3</v>
      </c>
      <c r="J688">
        <v>52063.29</v>
      </c>
      <c r="K688">
        <v>26691.01</v>
      </c>
      <c r="L688" s="2">
        <v>45597</v>
      </c>
    </row>
    <row r="689" spans="1:12" x14ac:dyDescent="0.3">
      <c r="A689" t="s">
        <v>16</v>
      </c>
      <c r="B689" t="s">
        <v>22</v>
      </c>
      <c r="C689" t="s">
        <v>35</v>
      </c>
      <c r="D689" t="s">
        <v>44</v>
      </c>
      <c r="E689" t="s">
        <v>52</v>
      </c>
      <c r="F689" t="s">
        <v>53</v>
      </c>
      <c r="G689">
        <v>269</v>
      </c>
      <c r="H689">
        <v>62.58</v>
      </c>
      <c r="I689">
        <v>16834.02</v>
      </c>
      <c r="J689">
        <v>11731.94</v>
      </c>
      <c r="K689">
        <v>5102.08</v>
      </c>
      <c r="L689" s="2">
        <v>45597</v>
      </c>
    </row>
    <row r="690" spans="1:12" x14ac:dyDescent="0.3">
      <c r="A690" t="s">
        <v>14</v>
      </c>
      <c r="B690" t="s">
        <v>23</v>
      </c>
      <c r="C690" t="s">
        <v>34</v>
      </c>
      <c r="D690" t="s">
        <v>43</v>
      </c>
      <c r="E690" t="s">
        <v>48</v>
      </c>
      <c r="F690" t="s">
        <v>55</v>
      </c>
      <c r="G690">
        <v>280</v>
      </c>
      <c r="H690">
        <v>217.15</v>
      </c>
      <c r="I690">
        <v>60802</v>
      </c>
      <c r="J690">
        <v>43499.519999999997</v>
      </c>
      <c r="K690">
        <v>17302.48</v>
      </c>
      <c r="L690" s="2">
        <v>45597</v>
      </c>
    </row>
    <row r="691" spans="1:12" x14ac:dyDescent="0.3">
      <c r="A691" t="s">
        <v>13</v>
      </c>
      <c r="B691" t="s">
        <v>26</v>
      </c>
      <c r="C691" t="s">
        <v>34</v>
      </c>
      <c r="D691" t="s">
        <v>38</v>
      </c>
      <c r="E691" t="s">
        <v>50</v>
      </c>
      <c r="F691" t="s">
        <v>54</v>
      </c>
      <c r="G691">
        <v>101</v>
      </c>
      <c r="H691">
        <v>249.98</v>
      </c>
      <c r="I691">
        <v>25247.98</v>
      </c>
      <c r="J691">
        <v>19974.48</v>
      </c>
      <c r="K691">
        <v>5273.5</v>
      </c>
      <c r="L691" s="2">
        <v>45597</v>
      </c>
    </row>
    <row r="692" spans="1:12" x14ac:dyDescent="0.3">
      <c r="A692" t="s">
        <v>14</v>
      </c>
      <c r="B692" t="s">
        <v>32</v>
      </c>
      <c r="C692" t="s">
        <v>35</v>
      </c>
      <c r="D692" t="s">
        <v>40</v>
      </c>
      <c r="E692" t="s">
        <v>51</v>
      </c>
      <c r="F692" t="s">
        <v>55</v>
      </c>
      <c r="G692">
        <v>283</v>
      </c>
      <c r="H692">
        <v>282.33</v>
      </c>
      <c r="I692">
        <v>79899.39</v>
      </c>
      <c r="J692">
        <v>63895.21</v>
      </c>
      <c r="K692">
        <v>16004.18</v>
      </c>
      <c r="L692" s="2">
        <v>45597</v>
      </c>
    </row>
    <row r="693" spans="1:12" x14ac:dyDescent="0.3">
      <c r="A693" t="s">
        <v>13</v>
      </c>
      <c r="B693" t="s">
        <v>30</v>
      </c>
      <c r="C693" t="s">
        <v>34</v>
      </c>
      <c r="D693" t="s">
        <v>37</v>
      </c>
      <c r="E693" t="s">
        <v>48</v>
      </c>
      <c r="F693" t="s">
        <v>55</v>
      </c>
      <c r="G693">
        <v>271</v>
      </c>
      <c r="H693">
        <v>230.43</v>
      </c>
      <c r="I693">
        <v>62446.53</v>
      </c>
      <c r="J693">
        <v>44372.92</v>
      </c>
      <c r="K693">
        <v>18073.61</v>
      </c>
      <c r="L693" s="2">
        <v>45597</v>
      </c>
    </row>
    <row r="694" spans="1:12" x14ac:dyDescent="0.3">
      <c r="A694" t="s">
        <v>14</v>
      </c>
      <c r="B694" t="s">
        <v>18</v>
      </c>
      <c r="C694" t="s">
        <v>35</v>
      </c>
      <c r="D694" t="s">
        <v>40</v>
      </c>
      <c r="E694" t="s">
        <v>49</v>
      </c>
      <c r="F694" t="s">
        <v>54</v>
      </c>
      <c r="G694">
        <v>240</v>
      </c>
      <c r="H694">
        <v>220.05</v>
      </c>
      <c r="I694">
        <v>52812</v>
      </c>
      <c r="J694">
        <v>42145.21</v>
      </c>
      <c r="K694">
        <v>10666.79</v>
      </c>
      <c r="L694" s="2">
        <v>45597</v>
      </c>
    </row>
    <row r="695" spans="1:12" x14ac:dyDescent="0.3">
      <c r="A695" t="s">
        <v>13</v>
      </c>
      <c r="B695" t="s">
        <v>30</v>
      </c>
      <c r="C695" t="s">
        <v>35</v>
      </c>
      <c r="D695" t="s">
        <v>44</v>
      </c>
      <c r="E695" t="s">
        <v>51</v>
      </c>
      <c r="F695" t="s">
        <v>53</v>
      </c>
      <c r="G695">
        <v>65</v>
      </c>
      <c r="H695">
        <v>150.51</v>
      </c>
      <c r="I695">
        <v>9783.15</v>
      </c>
      <c r="J695">
        <v>7382.01</v>
      </c>
      <c r="K695">
        <v>2401.14</v>
      </c>
      <c r="L695" s="2">
        <v>45597</v>
      </c>
    </row>
    <row r="696" spans="1:12" x14ac:dyDescent="0.3">
      <c r="A696" t="s">
        <v>14</v>
      </c>
      <c r="B696" t="s">
        <v>23</v>
      </c>
      <c r="C696" t="s">
        <v>35</v>
      </c>
      <c r="D696" t="s">
        <v>42</v>
      </c>
      <c r="E696" t="s">
        <v>48</v>
      </c>
      <c r="F696" t="s">
        <v>55</v>
      </c>
      <c r="G696">
        <v>394</v>
      </c>
      <c r="H696">
        <v>13.96</v>
      </c>
      <c r="I696">
        <v>5500.24</v>
      </c>
      <c r="J696">
        <v>3403.77</v>
      </c>
      <c r="K696">
        <v>2096.4699999999998</v>
      </c>
      <c r="L696" s="2">
        <v>45627</v>
      </c>
    </row>
    <row r="697" spans="1:12" x14ac:dyDescent="0.3">
      <c r="A697" t="s">
        <v>16</v>
      </c>
      <c r="B697" t="s">
        <v>22</v>
      </c>
      <c r="C697" t="s">
        <v>34</v>
      </c>
      <c r="D697" t="s">
        <v>43</v>
      </c>
      <c r="E697" t="s">
        <v>48</v>
      </c>
      <c r="F697" t="s">
        <v>53</v>
      </c>
      <c r="G697">
        <v>365</v>
      </c>
      <c r="H697">
        <v>276.44</v>
      </c>
      <c r="I697">
        <v>100900.6</v>
      </c>
      <c r="J697">
        <v>80470.36</v>
      </c>
      <c r="K697">
        <v>20430.240000000002</v>
      </c>
      <c r="L697" s="2">
        <v>45627</v>
      </c>
    </row>
    <row r="698" spans="1:12" x14ac:dyDescent="0.3">
      <c r="A698" t="s">
        <v>13</v>
      </c>
      <c r="B698" t="s">
        <v>27</v>
      </c>
      <c r="C698" t="s">
        <v>35</v>
      </c>
      <c r="D698" t="s">
        <v>44</v>
      </c>
      <c r="E698" t="s">
        <v>48</v>
      </c>
      <c r="F698" t="s">
        <v>54</v>
      </c>
      <c r="G698">
        <v>298</v>
      </c>
      <c r="H698">
        <v>164.7</v>
      </c>
      <c r="I698">
        <v>49080.6</v>
      </c>
      <c r="J698">
        <v>40416.559999999998</v>
      </c>
      <c r="K698">
        <v>8664.0400000000009</v>
      </c>
      <c r="L698" s="2">
        <v>45627</v>
      </c>
    </row>
    <row r="699" spans="1:12" x14ac:dyDescent="0.3">
      <c r="A699" t="s">
        <v>13</v>
      </c>
      <c r="B699" t="s">
        <v>26</v>
      </c>
      <c r="C699" t="s">
        <v>34</v>
      </c>
      <c r="D699" t="s">
        <v>45</v>
      </c>
      <c r="E699" t="s">
        <v>50</v>
      </c>
      <c r="F699" t="s">
        <v>53</v>
      </c>
      <c r="G699">
        <v>41</v>
      </c>
      <c r="H699">
        <v>122.3</v>
      </c>
      <c r="I699">
        <v>5014.3</v>
      </c>
      <c r="J699">
        <v>4145.04</v>
      </c>
      <c r="K699">
        <v>869.26</v>
      </c>
      <c r="L699" s="2">
        <v>45627</v>
      </c>
    </row>
    <row r="700" spans="1:12" x14ac:dyDescent="0.3">
      <c r="A700" t="s">
        <v>15</v>
      </c>
      <c r="B700" t="s">
        <v>33</v>
      </c>
      <c r="C700" t="s">
        <v>35</v>
      </c>
      <c r="D700" t="s">
        <v>42</v>
      </c>
      <c r="E700" t="s">
        <v>51</v>
      </c>
      <c r="F700" t="s">
        <v>55</v>
      </c>
      <c r="G700">
        <v>375</v>
      </c>
      <c r="H700">
        <v>34.200000000000003</v>
      </c>
      <c r="I700">
        <v>12825</v>
      </c>
      <c r="J700">
        <v>10524.25</v>
      </c>
      <c r="K700">
        <v>2300.75</v>
      </c>
      <c r="L700" s="2">
        <v>45627</v>
      </c>
    </row>
    <row r="701" spans="1:12" x14ac:dyDescent="0.3">
      <c r="A701" t="s">
        <v>13</v>
      </c>
      <c r="B701" t="s">
        <v>17</v>
      </c>
      <c r="C701" t="s">
        <v>35</v>
      </c>
      <c r="D701" t="s">
        <v>46</v>
      </c>
      <c r="E701" t="s">
        <v>50</v>
      </c>
      <c r="F701" t="s">
        <v>54</v>
      </c>
      <c r="G701">
        <v>383</v>
      </c>
      <c r="H701">
        <v>243.74</v>
      </c>
      <c r="I701">
        <v>93352.42</v>
      </c>
      <c r="J701">
        <v>68852.7</v>
      </c>
      <c r="K701">
        <v>24499.72</v>
      </c>
      <c r="L701" s="2">
        <v>45627</v>
      </c>
    </row>
    <row r="702" spans="1:12" x14ac:dyDescent="0.3">
      <c r="A702" t="s">
        <v>14</v>
      </c>
      <c r="B702" t="s">
        <v>19</v>
      </c>
      <c r="C702" t="s">
        <v>34</v>
      </c>
      <c r="D702" t="s">
        <v>38</v>
      </c>
      <c r="E702" t="s">
        <v>52</v>
      </c>
      <c r="F702" t="s">
        <v>54</v>
      </c>
      <c r="G702">
        <v>28</v>
      </c>
      <c r="H702">
        <v>206.49</v>
      </c>
      <c r="I702">
        <v>5781.72</v>
      </c>
      <c r="J702">
        <v>3573.26</v>
      </c>
      <c r="K702">
        <v>2208.46</v>
      </c>
      <c r="L702" s="2">
        <v>45627</v>
      </c>
    </row>
    <row r="703" spans="1:12" x14ac:dyDescent="0.3">
      <c r="A703" t="s">
        <v>16</v>
      </c>
      <c r="B703" t="s">
        <v>28</v>
      </c>
      <c r="C703" t="s">
        <v>34</v>
      </c>
      <c r="D703" t="s">
        <v>43</v>
      </c>
      <c r="E703" t="s">
        <v>52</v>
      </c>
      <c r="F703" t="s">
        <v>55</v>
      </c>
      <c r="G703">
        <v>401</v>
      </c>
      <c r="H703">
        <v>220.04</v>
      </c>
      <c r="I703">
        <v>88236.04</v>
      </c>
      <c r="J703">
        <v>69467.39</v>
      </c>
      <c r="K703">
        <v>18768.650000000001</v>
      </c>
      <c r="L703" s="2">
        <v>45627</v>
      </c>
    </row>
    <row r="704" spans="1:12" x14ac:dyDescent="0.3">
      <c r="A704" t="s">
        <v>15</v>
      </c>
      <c r="B704" t="s">
        <v>21</v>
      </c>
      <c r="C704" t="s">
        <v>35</v>
      </c>
      <c r="D704" t="s">
        <v>42</v>
      </c>
      <c r="E704" t="s">
        <v>48</v>
      </c>
      <c r="F704" t="s">
        <v>53</v>
      </c>
      <c r="G704">
        <v>65</v>
      </c>
      <c r="H704">
        <v>202.01</v>
      </c>
      <c r="I704">
        <v>13130.65</v>
      </c>
      <c r="J704">
        <v>9663.43</v>
      </c>
      <c r="K704">
        <v>3467.22</v>
      </c>
      <c r="L704" s="2">
        <v>45627</v>
      </c>
    </row>
    <row r="705" spans="1:12" x14ac:dyDescent="0.3">
      <c r="A705" t="s">
        <v>16</v>
      </c>
      <c r="B705" t="s">
        <v>24</v>
      </c>
      <c r="C705" t="s">
        <v>35</v>
      </c>
      <c r="D705" t="s">
        <v>40</v>
      </c>
      <c r="E705" t="s">
        <v>49</v>
      </c>
      <c r="F705" t="s">
        <v>55</v>
      </c>
      <c r="G705">
        <v>50</v>
      </c>
      <c r="H705">
        <v>81.7</v>
      </c>
      <c r="I705">
        <v>4085</v>
      </c>
      <c r="J705">
        <v>3340.25</v>
      </c>
      <c r="K705">
        <v>744.75</v>
      </c>
      <c r="L705" s="2">
        <v>45627</v>
      </c>
    </row>
    <row r="706" spans="1:12" x14ac:dyDescent="0.3">
      <c r="A706" t="s">
        <v>13</v>
      </c>
      <c r="B706" t="s">
        <v>17</v>
      </c>
      <c r="C706" t="s">
        <v>35</v>
      </c>
      <c r="D706" t="s">
        <v>42</v>
      </c>
      <c r="E706" t="s">
        <v>48</v>
      </c>
      <c r="F706" t="s">
        <v>54</v>
      </c>
      <c r="G706">
        <v>297</v>
      </c>
      <c r="H706">
        <v>31.93</v>
      </c>
      <c r="I706">
        <v>9483.2099999999991</v>
      </c>
      <c r="J706">
        <v>6556.88</v>
      </c>
      <c r="K706">
        <v>2926.33</v>
      </c>
      <c r="L706" s="2">
        <v>45627</v>
      </c>
    </row>
    <row r="707" spans="1:12" x14ac:dyDescent="0.3">
      <c r="A707" t="s">
        <v>16</v>
      </c>
      <c r="B707" t="s">
        <v>22</v>
      </c>
      <c r="C707" t="s">
        <v>35</v>
      </c>
      <c r="D707" t="s">
        <v>39</v>
      </c>
      <c r="E707" t="s">
        <v>49</v>
      </c>
      <c r="F707" t="s">
        <v>53</v>
      </c>
      <c r="G707">
        <v>273</v>
      </c>
      <c r="H707">
        <v>298.45</v>
      </c>
      <c r="I707">
        <v>81476.850000000006</v>
      </c>
      <c r="J707">
        <v>50715.51</v>
      </c>
      <c r="K707">
        <v>30761.34</v>
      </c>
      <c r="L707" s="2">
        <v>45627</v>
      </c>
    </row>
    <row r="708" spans="1:12" x14ac:dyDescent="0.3">
      <c r="A708" t="s">
        <v>15</v>
      </c>
      <c r="B708" t="s">
        <v>31</v>
      </c>
      <c r="C708" t="s">
        <v>34</v>
      </c>
      <c r="D708" t="s">
        <v>37</v>
      </c>
      <c r="E708" t="s">
        <v>49</v>
      </c>
      <c r="F708" t="s">
        <v>55</v>
      </c>
      <c r="G708">
        <v>60</v>
      </c>
      <c r="H708">
        <v>223.57</v>
      </c>
      <c r="I708">
        <v>13414.2</v>
      </c>
      <c r="J708">
        <v>11181.97</v>
      </c>
      <c r="K708">
        <v>2232.23</v>
      </c>
      <c r="L708" s="2">
        <v>45627</v>
      </c>
    </row>
    <row r="709" spans="1:12" x14ac:dyDescent="0.3">
      <c r="A709" t="s">
        <v>16</v>
      </c>
      <c r="B709" t="s">
        <v>22</v>
      </c>
      <c r="C709" t="s">
        <v>35</v>
      </c>
      <c r="D709" t="s">
        <v>44</v>
      </c>
      <c r="E709" t="s">
        <v>51</v>
      </c>
      <c r="F709" t="s">
        <v>55</v>
      </c>
      <c r="G709">
        <v>223</v>
      </c>
      <c r="H709">
        <v>182.13</v>
      </c>
      <c r="I709">
        <v>40614.99</v>
      </c>
      <c r="J709">
        <v>32428.47</v>
      </c>
      <c r="K709">
        <v>8186.52</v>
      </c>
      <c r="L709" s="2">
        <v>45627</v>
      </c>
    </row>
    <row r="710" spans="1:12" x14ac:dyDescent="0.3">
      <c r="A710" t="s">
        <v>13</v>
      </c>
      <c r="B710" t="s">
        <v>30</v>
      </c>
      <c r="C710" t="s">
        <v>34</v>
      </c>
      <c r="D710" t="s">
        <v>37</v>
      </c>
      <c r="E710" t="s">
        <v>51</v>
      </c>
      <c r="F710" t="s">
        <v>54</v>
      </c>
      <c r="G710">
        <v>497</v>
      </c>
      <c r="H710">
        <v>61.98</v>
      </c>
      <c r="I710">
        <v>30804.06</v>
      </c>
      <c r="J710">
        <v>24643.27</v>
      </c>
      <c r="K710">
        <v>6160.79</v>
      </c>
      <c r="L710" s="2">
        <v>45627</v>
      </c>
    </row>
    <row r="711" spans="1:12" x14ac:dyDescent="0.3">
      <c r="A711" t="s">
        <v>14</v>
      </c>
      <c r="B711" t="s">
        <v>23</v>
      </c>
      <c r="C711" t="s">
        <v>35</v>
      </c>
      <c r="D711" t="s">
        <v>40</v>
      </c>
      <c r="E711" t="s">
        <v>49</v>
      </c>
      <c r="F711" t="s">
        <v>54</v>
      </c>
      <c r="G711">
        <v>101</v>
      </c>
      <c r="H711">
        <v>118.59</v>
      </c>
      <c r="I711">
        <v>11977.59</v>
      </c>
      <c r="J711">
        <v>7392.93</v>
      </c>
      <c r="K711">
        <v>4584.66</v>
      </c>
      <c r="L711" s="2">
        <v>45627</v>
      </c>
    </row>
    <row r="712" spans="1:12" x14ac:dyDescent="0.3">
      <c r="A712" t="s">
        <v>14</v>
      </c>
      <c r="B712" t="s">
        <v>23</v>
      </c>
      <c r="C712" t="s">
        <v>34</v>
      </c>
      <c r="D712" t="s">
        <v>45</v>
      </c>
      <c r="E712" t="s">
        <v>49</v>
      </c>
      <c r="F712" t="s">
        <v>54</v>
      </c>
      <c r="G712">
        <v>43</v>
      </c>
      <c r="H712">
        <v>170.71</v>
      </c>
      <c r="I712">
        <v>7340.53</v>
      </c>
      <c r="J712">
        <v>5599.76</v>
      </c>
      <c r="K712">
        <v>1740.77</v>
      </c>
      <c r="L712" s="2">
        <v>45627</v>
      </c>
    </row>
    <row r="713" spans="1:12" x14ac:dyDescent="0.3">
      <c r="A713" t="s">
        <v>14</v>
      </c>
      <c r="B713" t="s">
        <v>18</v>
      </c>
      <c r="C713" t="s">
        <v>34</v>
      </c>
      <c r="D713" t="s">
        <v>45</v>
      </c>
      <c r="E713" t="s">
        <v>51</v>
      </c>
      <c r="F713" t="s">
        <v>53</v>
      </c>
      <c r="G713">
        <v>455</v>
      </c>
      <c r="H713">
        <v>39.229999999999997</v>
      </c>
      <c r="I713">
        <v>17849.650000000001</v>
      </c>
      <c r="J713">
        <v>11852.24</v>
      </c>
      <c r="K713">
        <v>5997.41</v>
      </c>
      <c r="L713" s="2">
        <v>45627</v>
      </c>
    </row>
    <row r="714" spans="1:12" x14ac:dyDescent="0.3">
      <c r="A714" t="s">
        <v>13</v>
      </c>
      <c r="B714" t="s">
        <v>17</v>
      </c>
      <c r="C714" t="s">
        <v>35</v>
      </c>
      <c r="D714" t="s">
        <v>47</v>
      </c>
      <c r="E714" t="s">
        <v>52</v>
      </c>
      <c r="F714" t="s">
        <v>55</v>
      </c>
      <c r="G714">
        <v>60</v>
      </c>
      <c r="H714">
        <v>274.85000000000002</v>
      </c>
      <c r="I714">
        <v>16491</v>
      </c>
      <c r="J714">
        <v>12420.09</v>
      </c>
      <c r="K714">
        <v>4070.91</v>
      </c>
      <c r="L714" s="2">
        <v>45627</v>
      </c>
    </row>
    <row r="715" spans="1:12" x14ac:dyDescent="0.3">
      <c r="A715" t="s">
        <v>15</v>
      </c>
      <c r="B715" t="s">
        <v>31</v>
      </c>
      <c r="C715" t="s">
        <v>35</v>
      </c>
      <c r="D715" t="s">
        <v>44</v>
      </c>
      <c r="E715" t="s">
        <v>52</v>
      </c>
      <c r="F715" t="s">
        <v>54</v>
      </c>
      <c r="G715">
        <v>79</v>
      </c>
      <c r="H715">
        <v>264.23</v>
      </c>
      <c r="I715">
        <v>20874.169999999998</v>
      </c>
      <c r="J715">
        <v>17723.919999999998</v>
      </c>
      <c r="K715">
        <v>3150.25</v>
      </c>
      <c r="L715" s="2">
        <v>45627</v>
      </c>
    </row>
    <row r="716" spans="1:12" x14ac:dyDescent="0.3">
      <c r="A716" t="s">
        <v>16</v>
      </c>
      <c r="B716" t="s">
        <v>25</v>
      </c>
      <c r="C716" t="s">
        <v>34</v>
      </c>
      <c r="D716" t="s">
        <v>37</v>
      </c>
      <c r="E716" t="s">
        <v>48</v>
      </c>
      <c r="F716" t="s">
        <v>55</v>
      </c>
      <c r="G716">
        <v>246</v>
      </c>
      <c r="H716">
        <v>126.74</v>
      </c>
      <c r="I716">
        <v>31178.04</v>
      </c>
      <c r="J716">
        <v>20406.21</v>
      </c>
      <c r="K716">
        <v>10771.83</v>
      </c>
      <c r="L716" s="2">
        <v>45627</v>
      </c>
    </row>
    <row r="717" spans="1:12" x14ac:dyDescent="0.3">
      <c r="A717" t="s">
        <v>15</v>
      </c>
      <c r="B717" t="s">
        <v>33</v>
      </c>
      <c r="C717" t="s">
        <v>35</v>
      </c>
      <c r="D717" t="s">
        <v>42</v>
      </c>
      <c r="E717" t="s">
        <v>50</v>
      </c>
      <c r="F717" t="s">
        <v>54</v>
      </c>
      <c r="G717">
        <v>378</v>
      </c>
      <c r="H717">
        <v>206.36</v>
      </c>
      <c r="I717">
        <v>78004.08</v>
      </c>
      <c r="J717">
        <v>58615.76</v>
      </c>
      <c r="K717">
        <v>19388.32</v>
      </c>
      <c r="L717" s="2">
        <v>45627</v>
      </c>
    </row>
    <row r="718" spans="1:12" x14ac:dyDescent="0.3">
      <c r="A718" t="s">
        <v>14</v>
      </c>
      <c r="B718" t="s">
        <v>18</v>
      </c>
      <c r="C718" t="s">
        <v>35</v>
      </c>
      <c r="D718" t="s">
        <v>41</v>
      </c>
      <c r="E718" t="s">
        <v>51</v>
      </c>
      <c r="F718" t="s">
        <v>55</v>
      </c>
      <c r="G718">
        <v>225</v>
      </c>
      <c r="H718">
        <v>137.94999999999999</v>
      </c>
      <c r="I718">
        <v>31038.75</v>
      </c>
      <c r="J718">
        <v>23323.72</v>
      </c>
      <c r="K718">
        <v>7715.03</v>
      </c>
      <c r="L718" s="2">
        <v>45627</v>
      </c>
    </row>
    <row r="719" spans="1:12" x14ac:dyDescent="0.3">
      <c r="A719" t="s">
        <v>15</v>
      </c>
      <c r="B719" t="s">
        <v>31</v>
      </c>
      <c r="C719" t="s">
        <v>34</v>
      </c>
      <c r="D719" t="s">
        <v>36</v>
      </c>
      <c r="E719" t="s">
        <v>48</v>
      </c>
      <c r="F719" t="s">
        <v>53</v>
      </c>
      <c r="G719">
        <v>494</v>
      </c>
      <c r="H719">
        <v>235.79</v>
      </c>
      <c r="I719">
        <v>116480.26</v>
      </c>
      <c r="J719">
        <v>74056.05</v>
      </c>
      <c r="K719">
        <v>42424.21</v>
      </c>
      <c r="L719" s="2">
        <v>45627</v>
      </c>
    </row>
    <row r="720" spans="1:12" x14ac:dyDescent="0.3">
      <c r="A720" t="s">
        <v>16</v>
      </c>
      <c r="B720" t="s">
        <v>24</v>
      </c>
      <c r="C720" t="s">
        <v>34</v>
      </c>
      <c r="D720" t="s">
        <v>36</v>
      </c>
      <c r="E720" t="s">
        <v>48</v>
      </c>
      <c r="F720" t="s">
        <v>54</v>
      </c>
      <c r="G720">
        <v>104</v>
      </c>
      <c r="H720">
        <v>219.35</v>
      </c>
      <c r="I720">
        <v>22812.400000000001</v>
      </c>
      <c r="J720">
        <v>17434.28</v>
      </c>
      <c r="K720">
        <v>5378.12</v>
      </c>
      <c r="L720" s="2">
        <v>45627</v>
      </c>
    </row>
    <row r="721" spans="1:12" x14ac:dyDescent="0.3">
      <c r="A721" t="s">
        <v>13</v>
      </c>
      <c r="B721" t="s">
        <v>27</v>
      </c>
      <c r="C721" t="s">
        <v>34</v>
      </c>
      <c r="D721" t="s">
        <v>45</v>
      </c>
      <c r="E721" t="s">
        <v>51</v>
      </c>
      <c r="F721" t="s">
        <v>53</v>
      </c>
      <c r="G721">
        <v>271</v>
      </c>
      <c r="H721">
        <v>202.89</v>
      </c>
      <c r="I721">
        <v>54983.19</v>
      </c>
      <c r="J721">
        <v>35152.49</v>
      </c>
      <c r="K721">
        <v>19830.7</v>
      </c>
      <c r="L721" s="2">
        <v>45658</v>
      </c>
    </row>
    <row r="722" spans="1:12" x14ac:dyDescent="0.3">
      <c r="A722" t="s">
        <v>14</v>
      </c>
      <c r="B722" t="s">
        <v>19</v>
      </c>
      <c r="C722" t="s">
        <v>34</v>
      </c>
      <c r="D722" t="s">
        <v>45</v>
      </c>
      <c r="E722" t="s">
        <v>51</v>
      </c>
      <c r="F722" t="s">
        <v>54</v>
      </c>
      <c r="G722">
        <v>52</v>
      </c>
      <c r="H722">
        <v>260.94</v>
      </c>
      <c r="I722">
        <v>13568.88</v>
      </c>
      <c r="J722">
        <v>8674.83</v>
      </c>
      <c r="K722">
        <v>4894.05</v>
      </c>
      <c r="L722" s="2">
        <v>45658</v>
      </c>
    </row>
    <row r="723" spans="1:12" x14ac:dyDescent="0.3">
      <c r="A723" t="s">
        <v>14</v>
      </c>
      <c r="B723" t="s">
        <v>32</v>
      </c>
      <c r="C723" t="s">
        <v>34</v>
      </c>
      <c r="D723" t="s">
        <v>36</v>
      </c>
      <c r="E723" t="s">
        <v>52</v>
      </c>
      <c r="F723" t="s">
        <v>55</v>
      </c>
      <c r="G723">
        <v>386</v>
      </c>
      <c r="H723">
        <v>33.99</v>
      </c>
      <c r="I723">
        <v>13120.14</v>
      </c>
      <c r="J723">
        <v>10925.43</v>
      </c>
      <c r="K723">
        <v>2194.71</v>
      </c>
      <c r="L723" s="2">
        <v>45658</v>
      </c>
    </row>
    <row r="724" spans="1:12" x14ac:dyDescent="0.3">
      <c r="A724" t="s">
        <v>15</v>
      </c>
      <c r="B724" t="s">
        <v>33</v>
      </c>
      <c r="C724" t="s">
        <v>35</v>
      </c>
      <c r="D724" t="s">
        <v>47</v>
      </c>
      <c r="E724" t="s">
        <v>48</v>
      </c>
      <c r="F724" t="s">
        <v>55</v>
      </c>
      <c r="G724">
        <v>380</v>
      </c>
      <c r="H724">
        <v>278.07</v>
      </c>
      <c r="I724">
        <v>105666.6</v>
      </c>
      <c r="J724">
        <v>89052.07</v>
      </c>
      <c r="K724">
        <v>16614.53</v>
      </c>
      <c r="L724" s="2">
        <v>45658</v>
      </c>
    </row>
    <row r="725" spans="1:12" x14ac:dyDescent="0.3">
      <c r="A725" t="s">
        <v>14</v>
      </c>
      <c r="B725" t="s">
        <v>23</v>
      </c>
      <c r="C725" t="s">
        <v>34</v>
      </c>
      <c r="D725" t="s">
        <v>45</v>
      </c>
      <c r="E725" t="s">
        <v>50</v>
      </c>
      <c r="F725" t="s">
        <v>54</v>
      </c>
      <c r="G725">
        <v>343</v>
      </c>
      <c r="H725">
        <v>148.93</v>
      </c>
      <c r="I725">
        <v>51082.99</v>
      </c>
      <c r="J725">
        <v>30879.67</v>
      </c>
      <c r="K725">
        <v>20203.32</v>
      </c>
      <c r="L725" s="2">
        <v>45658</v>
      </c>
    </row>
    <row r="726" spans="1:12" x14ac:dyDescent="0.3">
      <c r="A726" t="s">
        <v>13</v>
      </c>
      <c r="B726" t="s">
        <v>17</v>
      </c>
      <c r="C726" t="s">
        <v>34</v>
      </c>
      <c r="D726" t="s">
        <v>36</v>
      </c>
      <c r="E726" t="s">
        <v>50</v>
      </c>
      <c r="F726" t="s">
        <v>55</v>
      </c>
      <c r="G726">
        <v>39</v>
      </c>
      <c r="H726">
        <v>14.15</v>
      </c>
      <c r="I726">
        <v>551.85</v>
      </c>
      <c r="J726">
        <v>432.91</v>
      </c>
      <c r="K726">
        <v>118.94</v>
      </c>
      <c r="L726" s="2">
        <v>45658</v>
      </c>
    </row>
    <row r="727" spans="1:12" x14ac:dyDescent="0.3">
      <c r="A727" t="s">
        <v>13</v>
      </c>
      <c r="B727" t="s">
        <v>30</v>
      </c>
      <c r="C727" t="s">
        <v>35</v>
      </c>
      <c r="D727" t="s">
        <v>44</v>
      </c>
      <c r="E727" t="s">
        <v>48</v>
      </c>
      <c r="F727" t="s">
        <v>55</v>
      </c>
      <c r="G727">
        <v>51</v>
      </c>
      <c r="H727">
        <v>268.7</v>
      </c>
      <c r="I727">
        <v>13703.7</v>
      </c>
      <c r="J727">
        <v>11495.12</v>
      </c>
      <c r="K727">
        <v>2208.58</v>
      </c>
      <c r="L727" s="2">
        <v>45658</v>
      </c>
    </row>
    <row r="728" spans="1:12" x14ac:dyDescent="0.3">
      <c r="A728" t="s">
        <v>15</v>
      </c>
      <c r="B728" t="s">
        <v>21</v>
      </c>
      <c r="C728" t="s">
        <v>35</v>
      </c>
      <c r="D728" t="s">
        <v>44</v>
      </c>
      <c r="E728" t="s">
        <v>48</v>
      </c>
      <c r="F728" t="s">
        <v>55</v>
      </c>
      <c r="G728">
        <v>178</v>
      </c>
      <c r="H728">
        <v>256.04000000000002</v>
      </c>
      <c r="I728">
        <v>45575.12</v>
      </c>
      <c r="J728">
        <v>32160.42</v>
      </c>
      <c r="K728">
        <v>13414.7</v>
      </c>
      <c r="L728" s="2">
        <v>45658</v>
      </c>
    </row>
    <row r="729" spans="1:12" x14ac:dyDescent="0.3">
      <c r="A729" t="s">
        <v>15</v>
      </c>
      <c r="B729" t="s">
        <v>33</v>
      </c>
      <c r="C729" t="s">
        <v>35</v>
      </c>
      <c r="D729" t="s">
        <v>40</v>
      </c>
      <c r="E729" t="s">
        <v>48</v>
      </c>
      <c r="F729" t="s">
        <v>55</v>
      </c>
      <c r="G729">
        <v>148</v>
      </c>
      <c r="H729">
        <v>171.74</v>
      </c>
      <c r="I729">
        <v>25417.52</v>
      </c>
      <c r="J729">
        <v>17457.240000000002</v>
      </c>
      <c r="K729">
        <v>7960.28</v>
      </c>
      <c r="L729" s="2">
        <v>45658</v>
      </c>
    </row>
    <row r="730" spans="1:12" x14ac:dyDescent="0.3">
      <c r="A730" t="s">
        <v>16</v>
      </c>
      <c r="B730" t="s">
        <v>25</v>
      </c>
      <c r="C730" t="s">
        <v>34</v>
      </c>
      <c r="D730" t="s">
        <v>43</v>
      </c>
      <c r="E730" t="s">
        <v>52</v>
      </c>
      <c r="F730" t="s">
        <v>55</v>
      </c>
      <c r="G730">
        <v>190</v>
      </c>
      <c r="H730">
        <v>274.43</v>
      </c>
      <c r="I730">
        <v>52141.7</v>
      </c>
      <c r="J730">
        <v>43896.94</v>
      </c>
      <c r="K730">
        <v>8244.76</v>
      </c>
      <c r="L730" s="2">
        <v>45658</v>
      </c>
    </row>
    <row r="731" spans="1:12" x14ac:dyDescent="0.3">
      <c r="A731" t="s">
        <v>13</v>
      </c>
      <c r="B731" t="s">
        <v>17</v>
      </c>
      <c r="C731" t="s">
        <v>34</v>
      </c>
      <c r="D731" t="s">
        <v>43</v>
      </c>
      <c r="E731" t="s">
        <v>51</v>
      </c>
      <c r="F731" t="s">
        <v>55</v>
      </c>
      <c r="G731">
        <v>134</v>
      </c>
      <c r="H731">
        <v>117.42</v>
      </c>
      <c r="I731">
        <v>15734.28</v>
      </c>
      <c r="J731">
        <v>10914.88</v>
      </c>
      <c r="K731">
        <v>4819.3999999999996</v>
      </c>
      <c r="L731" s="2">
        <v>45658</v>
      </c>
    </row>
    <row r="732" spans="1:12" x14ac:dyDescent="0.3">
      <c r="A732" t="s">
        <v>14</v>
      </c>
      <c r="B732" t="s">
        <v>32</v>
      </c>
      <c r="C732" t="s">
        <v>35</v>
      </c>
      <c r="D732" t="s">
        <v>41</v>
      </c>
      <c r="E732" t="s">
        <v>52</v>
      </c>
      <c r="F732" t="s">
        <v>55</v>
      </c>
      <c r="G732">
        <v>246</v>
      </c>
      <c r="H732">
        <v>202.86</v>
      </c>
      <c r="I732">
        <v>49903.56</v>
      </c>
      <c r="J732">
        <v>32130.05</v>
      </c>
      <c r="K732">
        <v>17773.509999999998</v>
      </c>
      <c r="L732" s="2">
        <v>45658</v>
      </c>
    </row>
    <row r="733" spans="1:12" x14ac:dyDescent="0.3">
      <c r="A733" t="s">
        <v>14</v>
      </c>
      <c r="B733" t="s">
        <v>32</v>
      </c>
      <c r="C733" t="s">
        <v>35</v>
      </c>
      <c r="D733" t="s">
        <v>44</v>
      </c>
      <c r="E733" t="s">
        <v>50</v>
      </c>
      <c r="F733" t="s">
        <v>53</v>
      </c>
      <c r="G733">
        <v>346</v>
      </c>
      <c r="H733">
        <v>120.35</v>
      </c>
      <c r="I733">
        <v>41641.1</v>
      </c>
      <c r="J733">
        <v>26681.9</v>
      </c>
      <c r="K733">
        <v>14959.2</v>
      </c>
      <c r="L733" s="2">
        <v>45658</v>
      </c>
    </row>
    <row r="734" spans="1:12" x14ac:dyDescent="0.3">
      <c r="A734" t="s">
        <v>16</v>
      </c>
      <c r="B734" t="s">
        <v>24</v>
      </c>
      <c r="C734" t="s">
        <v>35</v>
      </c>
      <c r="D734" t="s">
        <v>39</v>
      </c>
      <c r="E734" t="s">
        <v>48</v>
      </c>
      <c r="F734" t="s">
        <v>54</v>
      </c>
      <c r="G734">
        <v>339</v>
      </c>
      <c r="H734">
        <v>58.07</v>
      </c>
      <c r="I734">
        <v>19685.73</v>
      </c>
      <c r="J734">
        <v>16465.63</v>
      </c>
      <c r="K734">
        <v>3220.1</v>
      </c>
      <c r="L734" s="2">
        <v>45658</v>
      </c>
    </row>
    <row r="735" spans="1:12" x14ac:dyDescent="0.3">
      <c r="A735" t="s">
        <v>13</v>
      </c>
      <c r="B735" t="s">
        <v>17</v>
      </c>
      <c r="C735" t="s">
        <v>34</v>
      </c>
      <c r="D735" t="s">
        <v>38</v>
      </c>
      <c r="E735" t="s">
        <v>49</v>
      </c>
      <c r="F735" t="s">
        <v>55</v>
      </c>
      <c r="G735">
        <v>98</v>
      </c>
      <c r="H735">
        <v>197.53</v>
      </c>
      <c r="I735">
        <v>19357.939999999999</v>
      </c>
      <c r="J735">
        <v>14969.38</v>
      </c>
      <c r="K735">
        <v>4388.5600000000004</v>
      </c>
      <c r="L735" s="2">
        <v>45658</v>
      </c>
    </row>
    <row r="736" spans="1:12" x14ac:dyDescent="0.3">
      <c r="A736" t="s">
        <v>16</v>
      </c>
      <c r="B736" t="s">
        <v>22</v>
      </c>
      <c r="C736" t="s">
        <v>35</v>
      </c>
      <c r="D736" t="s">
        <v>41</v>
      </c>
      <c r="E736" t="s">
        <v>51</v>
      </c>
      <c r="F736" t="s">
        <v>55</v>
      </c>
      <c r="G736">
        <v>185</v>
      </c>
      <c r="H736">
        <v>208.15</v>
      </c>
      <c r="I736">
        <v>38507.75</v>
      </c>
      <c r="J736">
        <v>23837.56</v>
      </c>
      <c r="K736">
        <v>14670.19</v>
      </c>
      <c r="L736" s="2">
        <v>45658</v>
      </c>
    </row>
    <row r="737" spans="1:12" x14ac:dyDescent="0.3">
      <c r="A737" t="s">
        <v>13</v>
      </c>
      <c r="B737" t="s">
        <v>30</v>
      </c>
      <c r="C737" t="s">
        <v>35</v>
      </c>
      <c r="D737" t="s">
        <v>41</v>
      </c>
      <c r="E737" t="s">
        <v>49</v>
      </c>
      <c r="F737" t="s">
        <v>54</v>
      </c>
      <c r="G737">
        <v>296</v>
      </c>
      <c r="H737">
        <v>27.79</v>
      </c>
      <c r="I737">
        <v>8225.84</v>
      </c>
      <c r="J737">
        <v>6541.11</v>
      </c>
      <c r="K737">
        <v>1684.73</v>
      </c>
      <c r="L737" s="2">
        <v>45658</v>
      </c>
    </row>
    <row r="738" spans="1:12" x14ac:dyDescent="0.3">
      <c r="A738" t="s">
        <v>13</v>
      </c>
      <c r="B738" t="s">
        <v>17</v>
      </c>
      <c r="C738" t="s">
        <v>35</v>
      </c>
      <c r="D738" t="s">
        <v>41</v>
      </c>
      <c r="E738" t="s">
        <v>52</v>
      </c>
      <c r="F738" t="s">
        <v>54</v>
      </c>
      <c r="G738">
        <v>31</v>
      </c>
      <c r="H738">
        <v>35.72</v>
      </c>
      <c r="I738">
        <v>1107.32</v>
      </c>
      <c r="J738">
        <v>697.79</v>
      </c>
      <c r="K738">
        <v>409.53</v>
      </c>
      <c r="L738" s="2">
        <v>45658</v>
      </c>
    </row>
    <row r="739" spans="1:12" x14ac:dyDescent="0.3">
      <c r="A739" t="s">
        <v>16</v>
      </c>
      <c r="B739" t="s">
        <v>24</v>
      </c>
      <c r="C739" t="s">
        <v>34</v>
      </c>
      <c r="D739" t="s">
        <v>45</v>
      </c>
      <c r="E739" t="s">
        <v>50</v>
      </c>
      <c r="F739" t="s">
        <v>54</v>
      </c>
      <c r="G739">
        <v>161</v>
      </c>
      <c r="H739">
        <v>76.7</v>
      </c>
      <c r="I739">
        <v>12348.7</v>
      </c>
      <c r="J739">
        <v>7781.43</v>
      </c>
      <c r="K739">
        <v>4567.2700000000004</v>
      </c>
      <c r="L739" s="2">
        <v>45658</v>
      </c>
    </row>
    <row r="740" spans="1:12" x14ac:dyDescent="0.3">
      <c r="A740" t="s">
        <v>16</v>
      </c>
      <c r="B740" t="s">
        <v>22</v>
      </c>
      <c r="C740" t="s">
        <v>34</v>
      </c>
      <c r="D740" t="s">
        <v>43</v>
      </c>
      <c r="E740" t="s">
        <v>50</v>
      </c>
      <c r="F740" t="s">
        <v>53</v>
      </c>
      <c r="G740">
        <v>223</v>
      </c>
      <c r="H740">
        <v>274.10000000000002</v>
      </c>
      <c r="I740">
        <v>61124.3</v>
      </c>
      <c r="J740">
        <v>38551.26</v>
      </c>
      <c r="K740">
        <v>22573.040000000001</v>
      </c>
      <c r="L740" s="2">
        <v>45658</v>
      </c>
    </row>
    <row r="741" spans="1:12" x14ac:dyDescent="0.3">
      <c r="A741" t="s">
        <v>16</v>
      </c>
      <c r="B741" t="s">
        <v>28</v>
      </c>
      <c r="C741" t="s">
        <v>35</v>
      </c>
      <c r="D741" t="s">
        <v>39</v>
      </c>
      <c r="E741" t="s">
        <v>52</v>
      </c>
      <c r="F741" t="s">
        <v>53</v>
      </c>
      <c r="G741">
        <v>218</v>
      </c>
      <c r="H741">
        <v>298.69</v>
      </c>
      <c r="I741">
        <v>65114.42</v>
      </c>
      <c r="J741">
        <v>46334.65</v>
      </c>
      <c r="K741">
        <v>18779.77</v>
      </c>
      <c r="L741" s="2">
        <v>45658</v>
      </c>
    </row>
    <row r="742" spans="1:12" x14ac:dyDescent="0.3">
      <c r="A742" t="s">
        <v>15</v>
      </c>
      <c r="B742" t="s">
        <v>21</v>
      </c>
      <c r="C742" t="s">
        <v>34</v>
      </c>
      <c r="D742" t="s">
        <v>43</v>
      </c>
      <c r="E742" t="s">
        <v>48</v>
      </c>
      <c r="F742" t="s">
        <v>55</v>
      </c>
      <c r="G742">
        <v>390</v>
      </c>
      <c r="H742">
        <v>206.09</v>
      </c>
      <c r="I742">
        <v>80375.100000000006</v>
      </c>
      <c r="J742">
        <v>54757.63</v>
      </c>
      <c r="K742">
        <v>25617.47</v>
      </c>
      <c r="L742" s="2">
        <v>45658</v>
      </c>
    </row>
    <row r="743" spans="1:12" x14ac:dyDescent="0.3">
      <c r="A743" t="s">
        <v>13</v>
      </c>
      <c r="B743" t="s">
        <v>17</v>
      </c>
      <c r="C743" t="s">
        <v>35</v>
      </c>
      <c r="D743" t="s">
        <v>41</v>
      </c>
      <c r="E743" t="s">
        <v>51</v>
      </c>
      <c r="F743" t="s">
        <v>54</v>
      </c>
      <c r="G743">
        <v>186</v>
      </c>
      <c r="H743">
        <v>119.42</v>
      </c>
      <c r="I743">
        <v>22212.12</v>
      </c>
      <c r="J743">
        <v>18526.689999999999</v>
      </c>
      <c r="K743">
        <v>3685.43</v>
      </c>
      <c r="L743" s="2">
        <v>45658</v>
      </c>
    </row>
    <row r="744" spans="1:12" x14ac:dyDescent="0.3">
      <c r="A744" t="s">
        <v>16</v>
      </c>
      <c r="B744" t="s">
        <v>28</v>
      </c>
      <c r="C744" t="s">
        <v>34</v>
      </c>
      <c r="D744" t="s">
        <v>37</v>
      </c>
      <c r="E744" t="s">
        <v>51</v>
      </c>
      <c r="F744" t="s">
        <v>53</v>
      </c>
      <c r="G744">
        <v>257</v>
      </c>
      <c r="H744">
        <v>144.54</v>
      </c>
      <c r="I744">
        <v>37146.78</v>
      </c>
      <c r="J744">
        <v>30731.72</v>
      </c>
      <c r="K744">
        <v>6415.06</v>
      </c>
      <c r="L744" s="2">
        <v>45658</v>
      </c>
    </row>
    <row r="745" spans="1:12" x14ac:dyDescent="0.3">
      <c r="A745" t="s">
        <v>16</v>
      </c>
      <c r="B745" t="s">
        <v>28</v>
      </c>
      <c r="C745" t="s">
        <v>35</v>
      </c>
      <c r="D745" t="s">
        <v>46</v>
      </c>
      <c r="E745" t="s">
        <v>52</v>
      </c>
      <c r="F745" t="s">
        <v>55</v>
      </c>
      <c r="G745">
        <v>461</v>
      </c>
      <c r="H745">
        <v>191.26</v>
      </c>
      <c r="I745">
        <v>88170.86</v>
      </c>
      <c r="J745">
        <v>59880.13</v>
      </c>
      <c r="K745">
        <v>28290.73</v>
      </c>
      <c r="L745" s="2">
        <v>45658</v>
      </c>
    </row>
    <row r="746" spans="1:12" x14ac:dyDescent="0.3">
      <c r="A746" t="s">
        <v>16</v>
      </c>
      <c r="B746" t="s">
        <v>28</v>
      </c>
      <c r="C746" t="s">
        <v>35</v>
      </c>
      <c r="D746" t="s">
        <v>44</v>
      </c>
      <c r="E746" t="s">
        <v>50</v>
      </c>
      <c r="F746" t="s">
        <v>53</v>
      </c>
      <c r="G746">
        <v>21</v>
      </c>
      <c r="H746">
        <v>56.27</v>
      </c>
      <c r="I746">
        <v>1181.67</v>
      </c>
      <c r="J746">
        <v>966.54</v>
      </c>
      <c r="K746">
        <v>215.13</v>
      </c>
      <c r="L746" s="2">
        <v>45658</v>
      </c>
    </row>
    <row r="747" spans="1:12" x14ac:dyDescent="0.3">
      <c r="A747" t="s">
        <v>16</v>
      </c>
      <c r="B747" t="s">
        <v>24</v>
      </c>
      <c r="C747" t="s">
        <v>35</v>
      </c>
      <c r="D747" t="s">
        <v>40</v>
      </c>
      <c r="E747" t="s">
        <v>48</v>
      </c>
      <c r="F747" t="s">
        <v>55</v>
      </c>
      <c r="G747">
        <v>294</v>
      </c>
      <c r="H747">
        <v>206.81</v>
      </c>
      <c r="I747">
        <v>60802.14</v>
      </c>
      <c r="J747">
        <v>41982.66</v>
      </c>
      <c r="K747">
        <v>18819.48</v>
      </c>
      <c r="L747" s="2">
        <v>45658</v>
      </c>
    </row>
    <row r="748" spans="1:12" x14ac:dyDescent="0.3">
      <c r="A748" t="s">
        <v>14</v>
      </c>
      <c r="B748" t="s">
        <v>23</v>
      </c>
      <c r="C748" t="s">
        <v>34</v>
      </c>
      <c r="D748" t="s">
        <v>36</v>
      </c>
      <c r="E748" t="s">
        <v>48</v>
      </c>
      <c r="F748" t="s">
        <v>55</v>
      </c>
      <c r="G748">
        <v>183</v>
      </c>
      <c r="H748">
        <v>28.04</v>
      </c>
      <c r="I748">
        <v>5131.32</v>
      </c>
      <c r="J748">
        <v>3267.76</v>
      </c>
      <c r="K748">
        <v>1863.56</v>
      </c>
      <c r="L748" s="2">
        <v>45658</v>
      </c>
    </row>
    <row r="749" spans="1:12" x14ac:dyDescent="0.3">
      <c r="A749" t="s">
        <v>13</v>
      </c>
      <c r="B749" t="s">
        <v>26</v>
      </c>
      <c r="C749" t="s">
        <v>35</v>
      </c>
      <c r="D749" t="s">
        <v>41</v>
      </c>
      <c r="E749" t="s">
        <v>51</v>
      </c>
      <c r="F749" t="s">
        <v>53</v>
      </c>
      <c r="G749">
        <v>215</v>
      </c>
      <c r="H749">
        <v>220.73</v>
      </c>
      <c r="I749">
        <v>47456.95</v>
      </c>
      <c r="J749">
        <v>32089.81</v>
      </c>
      <c r="K749">
        <v>15367.14</v>
      </c>
      <c r="L749" s="2">
        <v>45658</v>
      </c>
    </row>
    <row r="750" spans="1:12" x14ac:dyDescent="0.3">
      <c r="A750" t="s">
        <v>15</v>
      </c>
      <c r="B750" t="s">
        <v>33</v>
      </c>
      <c r="C750" t="s">
        <v>35</v>
      </c>
      <c r="D750" t="s">
        <v>40</v>
      </c>
      <c r="E750" t="s">
        <v>50</v>
      </c>
      <c r="F750" t="s">
        <v>54</v>
      </c>
      <c r="G750">
        <v>133</v>
      </c>
      <c r="H750">
        <v>122.71</v>
      </c>
      <c r="I750">
        <v>16320.43</v>
      </c>
      <c r="J750">
        <v>10460.11</v>
      </c>
      <c r="K750">
        <v>5860.32</v>
      </c>
      <c r="L750" s="2">
        <v>45658</v>
      </c>
    </row>
    <row r="751" spans="1:12" x14ac:dyDescent="0.3">
      <c r="A751" t="s">
        <v>16</v>
      </c>
      <c r="B751" t="s">
        <v>24</v>
      </c>
      <c r="C751" t="s">
        <v>34</v>
      </c>
      <c r="D751" t="s">
        <v>37</v>
      </c>
      <c r="E751" t="s">
        <v>49</v>
      </c>
      <c r="F751" t="s">
        <v>54</v>
      </c>
      <c r="G751">
        <v>341</v>
      </c>
      <c r="H751">
        <v>274.10000000000002</v>
      </c>
      <c r="I751">
        <v>93468.1</v>
      </c>
      <c r="J751">
        <v>66933.279999999999</v>
      </c>
      <c r="K751">
        <v>26534.82</v>
      </c>
      <c r="L751" s="2">
        <v>45658</v>
      </c>
    </row>
    <row r="752" spans="1:12" x14ac:dyDescent="0.3">
      <c r="A752" t="s">
        <v>16</v>
      </c>
      <c r="B752" t="s">
        <v>28</v>
      </c>
      <c r="C752" t="s">
        <v>34</v>
      </c>
      <c r="D752" t="s">
        <v>45</v>
      </c>
      <c r="E752" t="s">
        <v>49</v>
      </c>
      <c r="F752" t="s">
        <v>55</v>
      </c>
      <c r="G752">
        <v>495</v>
      </c>
      <c r="H752">
        <v>141.66</v>
      </c>
      <c r="I752">
        <v>70121.7</v>
      </c>
      <c r="J752">
        <v>54138.76</v>
      </c>
      <c r="K752">
        <v>15982.94</v>
      </c>
      <c r="L752" s="2">
        <v>45658</v>
      </c>
    </row>
    <row r="753" spans="1:12" x14ac:dyDescent="0.3">
      <c r="A753" t="s">
        <v>15</v>
      </c>
      <c r="B753" t="s">
        <v>21</v>
      </c>
      <c r="C753" t="s">
        <v>34</v>
      </c>
      <c r="D753" t="s">
        <v>45</v>
      </c>
      <c r="E753" t="s">
        <v>48</v>
      </c>
      <c r="F753" t="s">
        <v>53</v>
      </c>
      <c r="G753">
        <v>119</v>
      </c>
      <c r="H753">
        <v>274.12</v>
      </c>
      <c r="I753">
        <v>32620.28</v>
      </c>
      <c r="J753">
        <v>25720.78</v>
      </c>
      <c r="K753">
        <v>6899.5</v>
      </c>
      <c r="L753" s="2">
        <v>45658</v>
      </c>
    </row>
    <row r="754" spans="1:12" x14ac:dyDescent="0.3">
      <c r="A754" t="s">
        <v>15</v>
      </c>
      <c r="B754" t="s">
        <v>21</v>
      </c>
      <c r="C754" t="s">
        <v>34</v>
      </c>
      <c r="D754" t="s">
        <v>36</v>
      </c>
      <c r="E754" t="s">
        <v>49</v>
      </c>
      <c r="F754" t="s">
        <v>53</v>
      </c>
      <c r="G754">
        <v>77</v>
      </c>
      <c r="H754">
        <v>264.39999999999998</v>
      </c>
      <c r="I754">
        <v>20358.8</v>
      </c>
      <c r="J754">
        <v>16680.28</v>
      </c>
      <c r="K754">
        <v>3678.52</v>
      </c>
      <c r="L754" s="2">
        <v>45658</v>
      </c>
    </row>
    <row r="755" spans="1:12" x14ac:dyDescent="0.3">
      <c r="A755" t="s">
        <v>13</v>
      </c>
      <c r="B755" t="s">
        <v>26</v>
      </c>
      <c r="C755" t="s">
        <v>35</v>
      </c>
      <c r="D755" t="s">
        <v>41</v>
      </c>
      <c r="E755" t="s">
        <v>52</v>
      </c>
      <c r="F755" t="s">
        <v>54</v>
      </c>
      <c r="G755">
        <v>491</v>
      </c>
      <c r="H755">
        <v>103.71</v>
      </c>
      <c r="I755">
        <v>50921.61</v>
      </c>
      <c r="J755">
        <v>42940.89</v>
      </c>
      <c r="K755">
        <v>7980.72</v>
      </c>
      <c r="L755" s="2">
        <v>45689</v>
      </c>
    </row>
    <row r="756" spans="1:12" x14ac:dyDescent="0.3">
      <c r="A756" t="s">
        <v>15</v>
      </c>
      <c r="B756" t="s">
        <v>33</v>
      </c>
      <c r="C756" t="s">
        <v>35</v>
      </c>
      <c r="D756" t="s">
        <v>42</v>
      </c>
      <c r="E756" t="s">
        <v>51</v>
      </c>
      <c r="F756" t="s">
        <v>54</v>
      </c>
      <c r="G756">
        <v>99</v>
      </c>
      <c r="H756">
        <v>276.76</v>
      </c>
      <c r="I756">
        <v>27399.24</v>
      </c>
      <c r="J756">
        <v>18811.95</v>
      </c>
      <c r="K756">
        <v>8587.2900000000009</v>
      </c>
      <c r="L756" s="2">
        <v>45689</v>
      </c>
    </row>
    <row r="757" spans="1:12" x14ac:dyDescent="0.3">
      <c r="A757" t="s">
        <v>13</v>
      </c>
      <c r="B757" t="s">
        <v>30</v>
      </c>
      <c r="C757" t="s">
        <v>34</v>
      </c>
      <c r="D757" t="s">
        <v>43</v>
      </c>
      <c r="E757" t="s">
        <v>51</v>
      </c>
      <c r="F757" t="s">
        <v>53</v>
      </c>
      <c r="G757">
        <v>125</v>
      </c>
      <c r="H757">
        <v>17.98</v>
      </c>
      <c r="I757">
        <v>2247.5</v>
      </c>
      <c r="J757">
        <v>1820.37</v>
      </c>
      <c r="K757">
        <v>427.13</v>
      </c>
      <c r="L757" s="2">
        <v>45689</v>
      </c>
    </row>
    <row r="758" spans="1:12" x14ac:dyDescent="0.3">
      <c r="A758" t="s">
        <v>16</v>
      </c>
      <c r="B758" t="s">
        <v>24</v>
      </c>
      <c r="C758" t="s">
        <v>35</v>
      </c>
      <c r="D758" t="s">
        <v>44</v>
      </c>
      <c r="E758" t="s">
        <v>49</v>
      </c>
      <c r="F758" t="s">
        <v>55</v>
      </c>
      <c r="G758">
        <v>29</v>
      </c>
      <c r="H758">
        <v>156.41</v>
      </c>
      <c r="I758">
        <v>4535.8900000000003</v>
      </c>
      <c r="J758">
        <v>3337.62</v>
      </c>
      <c r="K758">
        <v>1198.27</v>
      </c>
      <c r="L758" s="2">
        <v>45689</v>
      </c>
    </row>
    <row r="759" spans="1:12" x14ac:dyDescent="0.3">
      <c r="A759" t="s">
        <v>14</v>
      </c>
      <c r="B759" t="s">
        <v>32</v>
      </c>
      <c r="C759" t="s">
        <v>34</v>
      </c>
      <c r="D759" t="s">
        <v>37</v>
      </c>
      <c r="E759" t="s">
        <v>52</v>
      </c>
      <c r="F759" t="s">
        <v>54</v>
      </c>
      <c r="G759">
        <v>115</v>
      </c>
      <c r="H759">
        <v>58.57</v>
      </c>
      <c r="I759">
        <v>6735.55</v>
      </c>
      <c r="J759">
        <v>4217.41</v>
      </c>
      <c r="K759">
        <v>2518.14</v>
      </c>
      <c r="L759" s="2">
        <v>45689</v>
      </c>
    </row>
    <row r="760" spans="1:12" x14ac:dyDescent="0.3">
      <c r="A760" t="s">
        <v>14</v>
      </c>
      <c r="B760" t="s">
        <v>32</v>
      </c>
      <c r="C760" t="s">
        <v>34</v>
      </c>
      <c r="D760" t="s">
        <v>45</v>
      </c>
      <c r="E760" t="s">
        <v>52</v>
      </c>
      <c r="F760" t="s">
        <v>55</v>
      </c>
      <c r="G760">
        <v>259</v>
      </c>
      <c r="H760">
        <v>19.04</v>
      </c>
      <c r="I760">
        <v>4931.3599999999997</v>
      </c>
      <c r="J760">
        <v>3282.15</v>
      </c>
      <c r="K760">
        <v>1649.21</v>
      </c>
      <c r="L760" s="2">
        <v>45689</v>
      </c>
    </row>
    <row r="761" spans="1:12" x14ac:dyDescent="0.3">
      <c r="A761" t="s">
        <v>13</v>
      </c>
      <c r="B761" t="s">
        <v>17</v>
      </c>
      <c r="C761" t="s">
        <v>34</v>
      </c>
      <c r="D761" t="s">
        <v>45</v>
      </c>
      <c r="E761" t="s">
        <v>50</v>
      </c>
      <c r="F761" t="s">
        <v>55</v>
      </c>
      <c r="G761">
        <v>44</v>
      </c>
      <c r="H761">
        <v>87.66</v>
      </c>
      <c r="I761">
        <v>3857.04</v>
      </c>
      <c r="J761">
        <v>3075.18</v>
      </c>
      <c r="K761">
        <v>781.86</v>
      </c>
      <c r="L761" s="2">
        <v>45689</v>
      </c>
    </row>
    <row r="762" spans="1:12" x14ac:dyDescent="0.3">
      <c r="A762" t="s">
        <v>14</v>
      </c>
      <c r="B762" t="s">
        <v>32</v>
      </c>
      <c r="C762" t="s">
        <v>35</v>
      </c>
      <c r="D762" t="s">
        <v>40</v>
      </c>
      <c r="E762" t="s">
        <v>52</v>
      </c>
      <c r="F762" t="s">
        <v>55</v>
      </c>
      <c r="G762">
        <v>276</v>
      </c>
      <c r="H762">
        <v>93.72</v>
      </c>
      <c r="I762">
        <v>25866.720000000001</v>
      </c>
      <c r="J762">
        <v>17820.05</v>
      </c>
      <c r="K762">
        <v>8046.67</v>
      </c>
      <c r="L762" s="2">
        <v>45689</v>
      </c>
    </row>
    <row r="763" spans="1:12" x14ac:dyDescent="0.3">
      <c r="A763" t="s">
        <v>16</v>
      </c>
      <c r="B763" t="s">
        <v>24</v>
      </c>
      <c r="C763" t="s">
        <v>34</v>
      </c>
      <c r="D763" t="s">
        <v>37</v>
      </c>
      <c r="E763" t="s">
        <v>49</v>
      </c>
      <c r="F763" t="s">
        <v>55</v>
      </c>
      <c r="G763">
        <v>356</v>
      </c>
      <c r="H763">
        <v>36.39</v>
      </c>
      <c r="I763">
        <v>12954.84</v>
      </c>
      <c r="J763">
        <v>10125.49</v>
      </c>
      <c r="K763">
        <v>2829.35</v>
      </c>
      <c r="L763" s="2">
        <v>45689</v>
      </c>
    </row>
    <row r="764" spans="1:12" x14ac:dyDescent="0.3">
      <c r="A764" t="s">
        <v>16</v>
      </c>
      <c r="B764" t="s">
        <v>25</v>
      </c>
      <c r="C764" t="s">
        <v>35</v>
      </c>
      <c r="D764" t="s">
        <v>47</v>
      </c>
      <c r="E764" t="s">
        <v>50</v>
      </c>
      <c r="F764" t="s">
        <v>53</v>
      </c>
      <c r="G764">
        <v>168</v>
      </c>
      <c r="H764">
        <v>130.61000000000001</v>
      </c>
      <c r="I764">
        <v>21942.48</v>
      </c>
      <c r="J764">
        <v>17807.669999999998</v>
      </c>
      <c r="K764">
        <v>4134.8100000000004</v>
      </c>
      <c r="L764" s="2">
        <v>45689</v>
      </c>
    </row>
    <row r="765" spans="1:12" x14ac:dyDescent="0.3">
      <c r="A765" t="s">
        <v>16</v>
      </c>
      <c r="B765" t="s">
        <v>22</v>
      </c>
      <c r="C765" t="s">
        <v>35</v>
      </c>
      <c r="D765" t="s">
        <v>41</v>
      </c>
      <c r="E765" t="s">
        <v>49</v>
      </c>
      <c r="F765" t="s">
        <v>53</v>
      </c>
      <c r="G765">
        <v>444</v>
      </c>
      <c r="H765">
        <v>167.43</v>
      </c>
      <c r="I765">
        <v>74338.92</v>
      </c>
      <c r="J765">
        <v>52623.19</v>
      </c>
      <c r="K765">
        <v>21715.73</v>
      </c>
      <c r="L765" s="2">
        <v>45689</v>
      </c>
    </row>
    <row r="766" spans="1:12" x14ac:dyDescent="0.3">
      <c r="A766" t="s">
        <v>14</v>
      </c>
      <c r="B766" t="s">
        <v>18</v>
      </c>
      <c r="C766" t="s">
        <v>34</v>
      </c>
      <c r="D766" t="s">
        <v>43</v>
      </c>
      <c r="E766" t="s">
        <v>49</v>
      </c>
      <c r="F766" t="s">
        <v>53</v>
      </c>
      <c r="G766">
        <v>87</v>
      </c>
      <c r="H766">
        <v>184.93</v>
      </c>
      <c r="I766">
        <v>16088.91</v>
      </c>
      <c r="J766">
        <v>12898.68</v>
      </c>
      <c r="K766">
        <v>3190.23</v>
      </c>
      <c r="L766" s="2">
        <v>45689</v>
      </c>
    </row>
    <row r="767" spans="1:12" x14ac:dyDescent="0.3">
      <c r="A767" t="s">
        <v>13</v>
      </c>
      <c r="B767" t="s">
        <v>27</v>
      </c>
      <c r="C767" t="s">
        <v>35</v>
      </c>
      <c r="D767" t="s">
        <v>47</v>
      </c>
      <c r="E767" t="s">
        <v>48</v>
      </c>
      <c r="F767" t="s">
        <v>54</v>
      </c>
      <c r="G767">
        <v>289</v>
      </c>
      <c r="H767">
        <v>221.56</v>
      </c>
      <c r="I767">
        <v>64030.84</v>
      </c>
      <c r="J767">
        <v>50672.61</v>
      </c>
      <c r="K767">
        <v>13358.23</v>
      </c>
      <c r="L767" s="2">
        <v>45689</v>
      </c>
    </row>
    <row r="768" spans="1:12" x14ac:dyDescent="0.3">
      <c r="A768" t="s">
        <v>13</v>
      </c>
      <c r="B768" t="s">
        <v>27</v>
      </c>
      <c r="C768" t="s">
        <v>34</v>
      </c>
      <c r="D768" t="s">
        <v>37</v>
      </c>
      <c r="E768" t="s">
        <v>49</v>
      </c>
      <c r="F768" t="s">
        <v>55</v>
      </c>
      <c r="G768">
        <v>327</v>
      </c>
      <c r="H768">
        <v>226.33</v>
      </c>
      <c r="I768">
        <v>74009.91</v>
      </c>
      <c r="J768">
        <v>51964.55</v>
      </c>
      <c r="K768">
        <v>22045.360000000001</v>
      </c>
      <c r="L768" s="2">
        <v>45689</v>
      </c>
    </row>
    <row r="769" spans="1:12" x14ac:dyDescent="0.3">
      <c r="A769" t="s">
        <v>13</v>
      </c>
      <c r="B769" t="s">
        <v>17</v>
      </c>
      <c r="C769" t="s">
        <v>35</v>
      </c>
      <c r="D769" t="s">
        <v>46</v>
      </c>
      <c r="E769" t="s">
        <v>51</v>
      </c>
      <c r="F769" t="s">
        <v>54</v>
      </c>
      <c r="G769">
        <v>409</v>
      </c>
      <c r="H769">
        <v>297.47000000000003</v>
      </c>
      <c r="I769">
        <v>121665.23</v>
      </c>
      <c r="J769">
        <v>97940.89</v>
      </c>
      <c r="K769">
        <v>23724.34</v>
      </c>
      <c r="L769" s="2">
        <v>45689</v>
      </c>
    </row>
    <row r="770" spans="1:12" x14ac:dyDescent="0.3">
      <c r="A770" t="s">
        <v>16</v>
      </c>
      <c r="B770" t="s">
        <v>25</v>
      </c>
      <c r="C770" t="s">
        <v>34</v>
      </c>
      <c r="D770" t="s">
        <v>45</v>
      </c>
      <c r="E770" t="s">
        <v>51</v>
      </c>
      <c r="F770" t="s">
        <v>54</v>
      </c>
      <c r="G770">
        <v>288</v>
      </c>
      <c r="H770">
        <v>125.8</v>
      </c>
      <c r="I770">
        <v>36230.400000000001</v>
      </c>
      <c r="J770">
        <v>23118.76</v>
      </c>
      <c r="K770">
        <v>13111.64</v>
      </c>
      <c r="L770" s="2">
        <v>45689</v>
      </c>
    </row>
    <row r="771" spans="1:12" x14ac:dyDescent="0.3">
      <c r="A771" t="s">
        <v>13</v>
      </c>
      <c r="B771" t="s">
        <v>27</v>
      </c>
      <c r="C771" t="s">
        <v>35</v>
      </c>
      <c r="D771" t="s">
        <v>47</v>
      </c>
      <c r="E771" t="s">
        <v>52</v>
      </c>
      <c r="F771" t="s">
        <v>53</v>
      </c>
      <c r="G771">
        <v>422</v>
      </c>
      <c r="H771">
        <v>37.19</v>
      </c>
      <c r="I771">
        <v>15694.18</v>
      </c>
      <c r="J771">
        <v>11681.07</v>
      </c>
      <c r="K771">
        <v>4013.11</v>
      </c>
      <c r="L771" s="2">
        <v>45689</v>
      </c>
    </row>
    <row r="772" spans="1:12" x14ac:dyDescent="0.3">
      <c r="A772" t="s">
        <v>13</v>
      </c>
      <c r="B772" t="s">
        <v>27</v>
      </c>
      <c r="C772" t="s">
        <v>34</v>
      </c>
      <c r="D772" t="s">
        <v>36</v>
      </c>
      <c r="E772" t="s">
        <v>48</v>
      </c>
      <c r="F772" t="s">
        <v>55</v>
      </c>
      <c r="G772">
        <v>309</v>
      </c>
      <c r="H772">
        <v>69.47</v>
      </c>
      <c r="I772">
        <v>21466.23</v>
      </c>
      <c r="J772">
        <v>18074.53</v>
      </c>
      <c r="K772">
        <v>3391.7</v>
      </c>
      <c r="L772" s="2">
        <v>45689</v>
      </c>
    </row>
    <row r="773" spans="1:12" x14ac:dyDescent="0.3">
      <c r="A773" t="s">
        <v>15</v>
      </c>
      <c r="B773" t="s">
        <v>21</v>
      </c>
      <c r="C773" t="s">
        <v>35</v>
      </c>
      <c r="D773" t="s">
        <v>41</v>
      </c>
      <c r="E773" t="s">
        <v>52</v>
      </c>
      <c r="F773" t="s">
        <v>55</v>
      </c>
      <c r="G773">
        <v>469</v>
      </c>
      <c r="H773">
        <v>214.97</v>
      </c>
      <c r="I773">
        <v>100820.93</v>
      </c>
      <c r="J773">
        <v>64702.89</v>
      </c>
      <c r="K773">
        <v>36118.04</v>
      </c>
      <c r="L773" s="2">
        <v>45689</v>
      </c>
    </row>
    <row r="774" spans="1:12" x14ac:dyDescent="0.3">
      <c r="A774" t="s">
        <v>14</v>
      </c>
      <c r="B774" t="s">
        <v>19</v>
      </c>
      <c r="C774" t="s">
        <v>34</v>
      </c>
      <c r="D774" t="s">
        <v>36</v>
      </c>
      <c r="E774" t="s">
        <v>51</v>
      </c>
      <c r="F774" t="s">
        <v>55</v>
      </c>
      <c r="G774">
        <v>480</v>
      </c>
      <c r="H774">
        <v>19.93</v>
      </c>
      <c r="I774">
        <v>9566.4</v>
      </c>
      <c r="J774">
        <v>7726.43</v>
      </c>
      <c r="K774">
        <v>1839.97</v>
      </c>
      <c r="L774" s="2">
        <v>45689</v>
      </c>
    </row>
    <row r="775" spans="1:12" x14ac:dyDescent="0.3">
      <c r="A775" t="s">
        <v>16</v>
      </c>
      <c r="B775" t="s">
        <v>22</v>
      </c>
      <c r="C775" t="s">
        <v>35</v>
      </c>
      <c r="D775" t="s">
        <v>47</v>
      </c>
      <c r="E775" t="s">
        <v>48</v>
      </c>
      <c r="F775" t="s">
        <v>55</v>
      </c>
      <c r="G775">
        <v>406</v>
      </c>
      <c r="H775">
        <v>191.61</v>
      </c>
      <c r="I775">
        <v>77793.66</v>
      </c>
      <c r="J775">
        <v>56184.480000000003</v>
      </c>
      <c r="K775">
        <v>21609.18</v>
      </c>
      <c r="L775" s="2">
        <v>45689</v>
      </c>
    </row>
    <row r="776" spans="1:12" x14ac:dyDescent="0.3">
      <c r="A776" t="s">
        <v>13</v>
      </c>
      <c r="B776" t="s">
        <v>26</v>
      </c>
      <c r="C776" t="s">
        <v>34</v>
      </c>
      <c r="D776" t="s">
        <v>43</v>
      </c>
      <c r="E776" t="s">
        <v>51</v>
      </c>
      <c r="F776" t="s">
        <v>54</v>
      </c>
      <c r="G776">
        <v>163</v>
      </c>
      <c r="H776">
        <v>20.64</v>
      </c>
      <c r="I776">
        <v>3364.32</v>
      </c>
      <c r="J776">
        <v>2230.91</v>
      </c>
      <c r="K776">
        <v>1133.4100000000001</v>
      </c>
      <c r="L776" s="2">
        <v>45689</v>
      </c>
    </row>
    <row r="777" spans="1:12" x14ac:dyDescent="0.3">
      <c r="A777" t="s">
        <v>13</v>
      </c>
      <c r="B777" t="s">
        <v>30</v>
      </c>
      <c r="C777" t="s">
        <v>35</v>
      </c>
      <c r="D777" t="s">
        <v>46</v>
      </c>
      <c r="E777" t="s">
        <v>49</v>
      </c>
      <c r="F777" t="s">
        <v>53</v>
      </c>
      <c r="G777">
        <v>260</v>
      </c>
      <c r="H777">
        <v>232.31</v>
      </c>
      <c r="I777">
        <v>60400.6</v>
      </c>
      <c r="J777">
        <v>47318.07</v>
      </c>
      <c r="K777">
        <v>13082.53</v>
      </c>
      <c r="L777" s="2">
        <v>45689</v>
      </c>
    </row>
    <row r="778" spans="1:12" x14ac:dyDescent="0.3">
      <c r="A778" t="s">
        <v>14</v>
      </c>
      <c r="B778" t="s">
        <v>19</v>
      </c>
      <c r="C778" t="s">
        <v>34</v>
      </c>
      <c r="D778" t="s">
        <v>37</v>
      </c>
      <c r="E778" t="s">
        <v>51</v>
      </c>
      <c r="F778" t="s">
        <v>54</v>
      </c>
      <c r="G778">
        <v>315</v>
      </c>
      <c r="H778">
        <v>269.85000000000002</v>
      </c>
      <c r="I778">
        <v>85002.75</v>
      </c>
      <c r="J778">
        <v>68385.279999999999</v>
      </c>
      <c r="K778">
        <v>16617.47</v>
      </c>
      <c r="L778" s="2">
        <v>45689</v>
      </c>
    </row>
    <row r="779" spans="1:12" x14ac:dyDescent="0.3">
      <c r="A779" t="s">
        <v>16</v>
      </c>
      <c r="B779" t="s">
        <v>24</v>
      </c>
      <c r="C779" t="s">
        <v>35</v>
      </c>
      <c r="D779" t="s">
        <v>39</v>
      </c>
      <c r="E779" t="s">
        <v>50</v>
      </c>
      <c r="F779" t="s">
        <v>53</v>
      </c>
      <c r="G779">
        <v>265</v>
      </c>
      <c r="H779">
        <v>76.069999999999993</v>
      </c>
      <c r="I779">
        <v>20158.55</v>
      </c>
      <c r="J779">
        <v>17013.77</v>
      </c>
      <c r="K779">
        <v>3144.78</v>
      </c>
      <c r="L779" s="2">
        <v>45689</v>
      </c>
    </row>
    <row r="780" spans="1:12" x14ac:dyDescent="0.3">
      <c r="A780" t="s">
        <v>14</v>
      </c>
      <c r="B780" t="s">
        <v>23</v>
      </c>
      <c r="C780" t="s">
        <v>35</v>
      </c>
      <c r="D780" t="s">
        <v>44</v>
      </c>
      <c r="E780" t="s">
        <v>48</v>
      </c>
      <c r="F780" t="s">
        <v>55</v>
      </c>
      <c r="G780">
        <v>392</v>
      </c>
      <c r="H780">
        <v>82.78</v>
      </c>
      <c r="I780">
        <v>32449.759999999998</v>
      </c>
      <c r="J780">
        <v>26370.43</v>
      </c>
      <c r="K780">
        <v>6079.33</v>
      </c>
      <c r="L780" s="2">
        <v>45689</v>
      </c>
    </row>
    <row r="781" spans="1:12" x14ac:dyDescent="0.3">
      <c r="A781" t="s">
        <v>13</v>
      </c>
      <c r="B781" t="s">
        <v>27</v>
      </c>
      <c r="C781" t="s">
        <v>35</v>
      </c>
      <c r="D781" t="s">
        <v>40</v>
      </c>
      <c r="E781" t="s">
        <v>48</v>
      </c>
      <c r="F781" t="s">
        <v>55</v>
      </c>
      <c r="G781">
        <v>54</v>
      </c>
      <c r="H781">
        <v>125.42</v>
      </c>
      <c r="I781">
        <v>6772.68</v>
      </c>
      <c r="J781">
        <v>4576.5</v>
      </c>
      <c r="K781">
        <v>2196.1799999999998</v>
      </c>
      <c r="L781" s="2">
        <v>45689</v>
      </c>
    </row>
    <row r="782" spans="1:12" x14ac:dyDescent="0.3">
      <c r="A782" t="s">
        <v>15</v>
      </c>
      <c r="B782" t="s">
        <v>33</v>
      </c>
      <c r="C782" t="s">
        <v>35</v>
      </c>
      <c r="D782" t="s">
        <v>47</v>
      </c>
      <c r="E782" t="s">
        <v>52</v>
      </c>
      <c r="F782" t="s">
        <v>54</v>
      </c>
      <c r="G782">
        <v>30</v>
      </c>
      <c r="H782">
        <v>220.3</v>
      </c>
      <c r="I782">
        <v>6609</v>
      </c>
      <c r="J782">
        <v>4499.1000000000004</v>
      </c>
      <c r="K782">
        <v>2109.9</v>
      </c>
      <c r="L782" s="2">
        <v>45689</v>
      </c>
    </row>
    <row r="783" spans="1:12" x14ac:dyDescent="0.3">
      <c r="A783" t="s">
        <v>14</v>
      </c>
      <c r="B783" t="s">
        <v>18</v>
      </c>
      <c r="C783" t="s">
        <v>34</v>
      </c>
      <c r="D783" t="s">
        <v>36</v>
      </c>
      <c r="E783" t="s">
        <v>48</v>
      </c>
      <c r="F783" t="s">
        <v>55</v>
      </c>
      <c r="G783">
        <v>303</v>
      </c>
      <c r="H783">
        <v>243.86</v>
      </c>
      <c r="I783">
        <v>73889.58</v>
      </c>
      <c r="J783">
        <v>52817.01</v>
      </c>
      <c r="K783">
        <v>21072.57</v>
      </c>
      <c r="L783" s="2">
        <v>45717</v>
      </c>
    </row>
    <row r="784" spans="1:12" x14ac:dyDescent="0.3">
      <c r="A784" t="s">
        <v>15</v>
      </c>
      <c r="B784" t="s">
        <v>31</v>
      </c>
      <c r="C784" t="s">
        <v>35</v>
      </c>
      <c r="D784" t="s">
        <v>42</v>
      </c>
      <c r="E784" t="s">
        <v>49</v>
      </c>
      <c r="F784" t="s">
        <v>54</v>
      </c>
      <c r="G784">
        <v>442</v>
      </c>
      <c r="H784">
        <v>188.04</v>
      </c>
      <c r="I784">
        <v>83113.679999999993</v>
      </c>
      <c r="J784">
        <v>51253.13</v>
      </c>
      <c r="K784">
        <v>31860.55</v>
      </c>
      <c r="L784" s="2">
        <v>45717</v>
      </c>
    </row>
    <row r="785" spans="1:12" x14ac:dyDescent="0.3">
      <c r="A785" t="s">
        <v>15</v>
      </c>
      <c r="B785" t="s">
        <v>33</v>
      </c>
      <c r="C785" t="s">
        <v>35</v>
      </c>
      <c r="D785" t="s">
        <v>42</v>
      </c>
      <c r="E785" t="s">
        <v>51</v>
      </c>
      <c r="F785" t="s">
        <v>55</v>
      </c>
      <c r="G785">
        <v>158</v>
      </c>
      <c r="H785">
        <v>120</v>
      </c>
      <c r="I785">
        <v>18960</v>
      </c>
      <c r="J785">
        <v>14903.74</v>
      </c>
      <c r="K785">
        <v>4056.26</v>
      </c>
      <c r="L785" s="2">
        <v>45717</v>
      </c>
    </row>
    <row r="786" spans="1:12" x14ac:dyDescent="0.3">
      <c r="A786" t="s">
        <v>15</v>
      </c>
      <c r="B786" t="s">
        <v>21</v>
      </c>
      <c r="C786" t="s">
        <v>34</v>
      </c>
      <c r="D786" t="s">
        <v>36</v>
      </c>
      <c r="E786" t="s">
        <v>52</v>
      </c>
      <c r="F786" t="s">
        <v>55</v>
      </c>
      <c r="G786">
        <v>474</v>
      </c>
      <c r="H786">
        <v>28.76</v>
      </c>
      <c r="I786">
        <v>13632.24</v>
      </c>
      <c r="J786">
        <v>11436.85</v>
      </c>
      <c r="K786">
        <v>2195.39</v>
      </c>
      <c r="L786" s="2">
        <v>45717</v>
      </c>
    </row>
    <row r="787" spans="1:12" x14ac:dyDescent="0.3">
      <c r="A787" t="s">
        <v>16</v>
      </c>
      <c r="B787" t="s">
        <v>24</v>
      </c>
      <c r="C787" t="s">
        <v>34</v>
      </c>
      <c r="D787" t="s">
        <v>38</v>
      </c>
      <c r="E787" t="s">
        <v>49</v>
      </c>
      <c r="F787" t="s">
        <v>55</v>
      </c>
      <c r="G787">
        <v>91</v>
      </c>
      <c r="H787">
        <v>148.05000000000001</v>
      </c>
      <c r="I787">
        <v>13472.55</v>
      </c>
      <c r="J787">
        <v>9349.57</v>
      </c>
      <c r="K787">
        <v>4122.9799999999996</v>
      </c>
      <c r="L787" s="2">
        <v>45717</v>
      </c>
    </row>
    <row r="788" spans="1:12" x14ac:dyDescent="0.3">
      <c r="A788" t="s">
        <v>16</v>
      </c>
      <c r="B788" t="s">
        <v>25</v>
      </c>
      <c r="C788" t="s">
        <v>34</v>
      </c>
      <c r="D788" t="s">
        <v>38</v>
      </c>
      <c r="E788" t="s">
        <v>52</v>
      </c>
      <c r="F788" t="s">
        <v>54</v>
      </c>
      <c r="G788">
        <v>352</v>
      </c>
      <c r="H788">
        <v>186.25</v>
      </c>
      <c r="I788">
        <v>65560</v>
      </c>
      <c r="J788">
        <v>44175.99</v>
      </c>
      <c r="K788">
        <v>21384.01</v>
      </c>
      <c r="L788" s="2">
        <v>45717</v>
      </c>
    </row>
    <row r="789" spans="1:12" x14ac:dyDescent="0.3">
      <c r="A789" t="s">
        <v>14</v>
      </c>
      <c r="B789" t="s">
        <v>19</v>
      </c>
      <c r="C789" t="s">
        <v>34</v>
      </c>
      <c r="D789" t="s">
        <v>36</v>
      </c>
      <c r="E789" t="s">
        <v>52</v>
      </c>
      <c r="F789" t="s">
        <v>55</v>
      </c>
      <c r="G789">
        <v>459</v>
      </c>
      <c r="H789">
        <v>40.909999999999997</v>
      </c>
      <c r="I789">
        <v>18777.689999999999</v>
      </c>
      <c r="J789">
        <v>11619.34</v>
      </c>
      <c r="K789">
        <v>7158.35</v>
      </c>
      <c r="L789" s="2">
        <v>45717</v>
      </c>
    </row>
    <row r="790" spans="1:12" x14ac:dyDescent="0.3">
      <c r="A790" t="s">
        <v>14</v>
      </c>
      <c r="B790" t="s">
        <v>23</v>
      </c>
      <c r="C790" t="s">
        <v>34</v>
      </c>
      <c r="D790" t="s">
        <v>38</v>
      </c>
      <c r="E790" t="s">
        <v>51</v>
      </c>
      <c r="F790" t="s">
        <v>54</v>
      </c>
      <c r="G790">
        <v>231</v>
      </c>
      <c r="H790">
        <v>12.57</v>
      </c>
      <c r="I790">
        <v>2903.67</v>
      </c>
      <c r="J790">
        <v>2466.54</v>
      </c>
      <c r="K790">
        <v>437.13</v>
      </c>
      <c r="L790" s="2">
        <v>45717</v>
      </c>
    </row>
    <row r="791" spans="1:12" x14ac:dyDescent="0.3">
      <c r="A791" t="s">
        <v>15</v>
      </c>
      <c r="B791" t="s">
        <v>20</v>
      </c>
      <c r="C791" t="s">
        <v>34</v>
      </c>
      <c r="D791" t="s">
        <v>38</v>
      </c>
      <c r="E791" t="s">
        <v>50</v>
      </c>
      <c r="F791" t="s">
        <v>53</v>
      </c>
      <c r="G791">
        <v>281</v>
      </c>
      <c r="H791">
        <v>263.37</v>
      </c>
      <c r="I791">
        <v>74006.97</v>
      </c>
      <c r="J791">
        <v>62611.44</v>
      </c>
      <c r="K791">
        <v>11395.53</v>
      </c>
      <c r="L791" s="2">
        <v>45717</v>
      </c>
    </row>
    <row r="792" spans="1:12" x14ac:dyDescent="0.3">
      <c r="A792" t="s">
        <v>13</v>
      </c>
      <c r="B792" t="s">
        <v>26</v>
      </c>
      <c r="C792" t="s">
        <v>35</v>
      </c>
      <c r="D792" t="s">
        <v>46</v>
      </c>
      <c r="E792" t="s">
        <v>51</v>
      </c>
      <c r="F792" t="s">
        <v>54</v>
      </c>
      <c r="G792">
        <v>461</v>
      </c>
      <c r="H792">
        <v>73.290000000000006</v>
      </c>
      <c r="I792">
        <v>33786.69</v>
      </c>
      <c r="J792">
        <v>28296.03</v>
      </c>
      <c r="K792">
        <v>5490.66</v>
      </c>
      <c r="L792" s="2">
        <v>45717</v>
      </c>
    </row>
    <row r="793" spans="1:12" x14ac:dyDescent="0.3">
      <c r="A793" t="s">
        <v>15</v>
      </c>
      <c r="B793" t="s">
        <v>31</v>
      </c>
      <c r="C793" t="s">
        <v>34</v>
      </c>
      <c r="D793" t="s">
        <v>43</v>
      </c>
      <c r="E793" t="s">
        <v>48</v>
      </c>
      <c r="F793" t="s">
        <v>55</v>
      </c>
      <c r="G793">
        <v>47</v>
      </c>
      <c r="H793">
        <v>56.2</v>
      </c>
      <c r="I793">
        <v>2641.4</v>
      </c>
      <c r="J793">
        <v>1626.51</v>
      </c>
      <c r="K793">
        <v>1014.89</v>
      </c>
      <c r="L793" s="2">
        <v>45717</v>
      </c>
    </row>
    <row r="794" spans="1:12" x14ac:dyDescent="0.3">
      <c r="A794" t="s">
        <v>13</v>
      </c>
      <c r="B794" t="s">
        <v>26</v>
      </c>
      <c r="C794" t="s">
        <v>34</v>
      </c>
      <c r="D794" t="s">
        <v>38</v>
      </c>
      <c r="E794" t="s">
        <v>49</v>
      </c>
      <c r="F794" t="s">
        <v>53</v>
      </c>
      <c r="G794">
        <v>157</v>
      </c>
      <c r="H794">
        <v>252.97</v>
      </c>
      <c r="I794">
        <v>39716.29</v>
      </c>
      <c r="J794">
        <v>26119.11</v>
      </c>
      <c r="K794">
        <v>13597.18</v>
      </c>
      <c r="L794" s="2">
        <v>45717</v>
      </c>
    </row>
    <row r="795" spans="1:12" x14ac:dyDescent="0.3">
      <c r="A795" t="s">
        <v>16</v>
      </c>
      <c r="B795" t="s">
        <v>28</v>
      </c>
      <c r="C795" t="s">
        <v>34</v>
      </c>
      <c r="D795" t="s">
        <v>45</v>
      </c>
      <c r="E795" t="s">
        <v>52</v>
      </c>
      <c r="F795" t="s">
        <v>55</v>
      </c>
      <c r="G795">
        <v>255</v>
      </c>
      <c r="H795">
        <v>239.25</v>
      </c>
      <c r="I795">
        <v>61008.75</v>
      </c>
      <c r="J795">
        <v>38509.040000000001</v>
      </c>
      <c r="K795">
        <v>22499.71</v>
      </c>
      <c r="L795" s="2">
        <v>45717</v>
      </c>
    </row>
    <row r="796" spans="1:12" x14ac:dyDescent="0.3">
      <c r="A796" t="s">
        <v>14</v>
      </c>
      <c r="B796" t="s">
        <v>19</v>
      </c>
      <c r="C796" t="s">
        <v>34</v>
      </c>
      <c r="D796" t="s">
        <v>43</v>
      </c>
      <c r="E796" t="s">
        <v>50</v>
      </c>
      <c r="F796" t="s">
        <v>54</v>
      </c>
      <c r="G796">
        <v>84</v>
      </c>
      <c r="H796">
        <v>229.32</v>
      </c>
      <c r="I796">
        <v>19262.88</v>
      </c>
      <c r="J796">
        <v>15612.42</v>
      </c>
      <c r="K796">
        <v>3650.46</v>
      </c>
      <c r="L796" s="2">
        <v>45717</v>
      </c>
    </row>
    <row r="797" spans="1:12" x14ac:dyDescent="0.3">
      <c r="A797" t="s">
        <v>13</v>
      </c>
      <c r="B797" t="s">
        <v>17</v>
      </c>
      <c r="C797" t="s">
        <v>34</v>
      </c>
      <c r="D797" t="s">
        <v>45</v>
      </c>
      <c r="E797" t="s">
        <v>48</v>
      </c>
      <c r="F797" t="s">
        <v>55</v>
      </c>
      <c r="G797">
        <v>173</v>
      </c>
      <c r="H797">
        <v>53.41</v>
      </c>
      <c r="I797">
        <v>9239.93</v>
      </c>
      <c r="J797">
        <v>6523.26</v>
      </c>
      <c r="K797">
        <v>2716.67</v>
      </c>
      <c r="L797" s="2">
        <v>45717</v>
      </c>
    </row>
    <row r="798" spans="1:12" x14ac:dyDescent="0.3">
      <c r="A798" t="s">
        <v>14</v>
      </c>
      <c r="B798" t="s">
        <v>32</v>
      </c>
      <c r="C798" t="s">
        <v>34</v>
      </c>
      <c r="D798" t="s">
        <v>43</v>
      </c>
      <c r="E798" t="s">
        <v>52</v>
      </c>
      <c r="F798" t="s">
        <v>54</v>
      </c>
      <c r="G798">
        <v>106</v>
      </c>
      <c r="H798">
        <v>123.31</v>
      </c>
      <c r="I798">
        <v>13070.86</v>
      </c>
      <c r="J798">
        <v>10451.280000000001</v>
      </c>
      <c r="K798">
        <v>2619.58</v>
      </c>
      <c r="L798" s="2">
        <v>45717</v>
      </c>
    </row>
    <row r="799" spans="1:12" x14ac:dyDescent="0.3">
      <c r="A799" t="s">
        <v>13</v>
      </c>
      <c r="B799" t="s">
        <v>17</v>
      </c>
      <c r="C799" t="s">
        <v>34</v>
      </c>
      <c r="D799" t="s">
        <v>36</v>
      </c>
      <c r="E799" t="s">
        <v>50</v>
      </c>
      <c r="F799" t="s">
        <v>55</v>
      </c>
      <c r="G799">
        <v>173</v>
      </c>
      <c r="H799">
        <v>37.99</v>
      </c>
      <c r="I799">
        <v>6572.27</v>
      </c>
      <c r="J799">
        <v>4340.8100000000004</v>
      </c>
      <c r="K799">
        <v>2231.46</v>
      </c>
      <c r="L799" s="2">
        <v>45717</v>
      </c>
    </row>
    <row r="800" spans="1:12" x14ac:dyDescent="0.3">
      <c r="A800" t="s">
        <v>14</v>
      </c>
      <c r="B800" t="s">
        <v>23</v>
      </c>
      <c r="C800" t="s">
        <v>34</v>
      </c>
      <c r="D800" t="s">
        <v>36</v>
      </c>
      <c r="E800" t="s">
        <v>51</v>
      </c>
      <c r="F800" t="s">
        <v>55</v>
      </c>
      <c r="G800">
        <v>21</v>
      </c>
      <c r="H800">
        <v>10.39</v>
      </c>
      <c r="I800">
        <v>218.19</v>
      </c>
      <c r="J800">
        <v>147.27000000000001</v>
      </c>
      <c r="K800">
        <v>70.92</v>
      </c>
      <c r="L800" s="2">
        <v>45717</v>
      </c>
    </row>
    <row r="801" spans="1:12" x14ac:dyDescent="0.3">
      <c r="A801" t="s">
        <v>13</v>
      </c>
      <c r="B801" t="s">
        <v>30</v>
      </c>
      <c r="C801" t="s">
        <v>34</v>
      </c>
      <c r="D801" t="s">
        <v>36</v>
      </c>
      <c r="E801" t="s">
        <v>48</v>
      </c>
      <c r="F801" t="s">
        <v>55</v>
      </c>
      <c r="G801">
        <v>287</v>
      </c>
      <c r="H801">
        <v>252.13</v>
      </c>
      <c r="I801">
        <v>72361.31</v>
      </c>
      <c r="J801">
        <v>61224.94</v>
      </c>
      <c r="K801">
        <v>11136.37</v>
      </c>
      <c r="L801" s="2">
        <v>45717</v>
      </c>
    </row>
    <row r="802" spans="1:12" x14ac:dyDescent="0.3">
      <c r="A802" t="s">
        <v>13</v>
      </c>
      <c r="B802" t="s">
        <v>27</v>
      </c>
      <c r="C802" t="s">
        <v>35</v>
      </c>
      <c r="D802" t="s">
        <v>46</v>
      </c>
      <c r="E802" t="s">
        <v>51</v>
      </c>
      <c r="F802" t="s">
        <v>54</v>
      </c>
      <c r="G802">
        <v>410</v>
      </c>
      <c r="H802">
        <v>152.71</v>
      </c>
      <c r="I802">
        <v>62611.1</v>
      </c>
      <c r="J802">
        <v>41608.9</v>
      </c>
      <c r="K802">
        <v>21002.2</v>
      </c>
      <c r="L802" s="2">
        <v>45717</v>
      </c>
    </row>
    <row r="803" spans="1:12" x14ac:dyDescent="0.3">
      <c r="A803" t="s">
        <v>13</v>
      </c>
      <c r="B803" t="s">
        <v>26</v>
      </c>
      <c r="C803" t="s">
        <v>35</v>
      </c>
      <c r="D803" t="s">
        <v>39</v>
      </c>
      <c r="E803" t="s">
        <v>48</v>
      </c>
      <c r="F803" t="s">
        <v>54</v>
      </c>
      <c r="G803">
        <v>67</v>
      </c>
      <c r="H803">
        <v>10.3</v>
      </c>
      <c r="I803">
        <v>690.1</v>
      </c>
      <c r="J803">
        <v>441.48</v>
      </c>
      <c r="K803">
        <v>248.62</v>
      </c>
      <c r="L803" s="2">
        <v>45717</v>
      </c>
    </row>
    <row r="804" spans="1:12" x14ac:dyDescent="0.3">
      <c r="A804" t="s">
        <v>13</v>
      </c>
      <c r="B804" t="s">
        <v>30</v>
      </c>
      <c r="C804" t="s">
        <v>35</v>
      </c>
      <c r="D804" t="s">
        <v>44</v>
      </c>
      <c r="E804" t="s">
        <v>50</v>
      </c>
      <c r="F804" t="s">
        <v>55</v>
      </c>
      <c r="G804">
        <v>379</v>
      </c>
      <c r="H804">
        <v>103.44</v>
      </c>
      <c r="I804">
        <v>39203.760000000002</v>
      </c>
      <c r="J804">
        <v>24749.66</v>
      </c>
      <c r="K804">
        <v>14454.1</v>
      </c>
      <c r="L804" s="2">
        <v>45717</v>
      </c>
    </row>
    <row r="805" spans="1:12" x14ac:dyDescent="0.3">
      <c r="A805" t="s">
        <v>15</v>
      </c>
      <c r="B805" t="s">
        <v>29</v>
      </c>
      <c r="C805" t="s">
        <v>34</v>
      </c>
      <c r="D805" t="s">
        <v>45</v>
      </c>
      <c r="E805" t="s">
        <v>48</v>
      </c>
      <c r="F805" t="s">
        <v>53</v>
      </c>
      <c r="G805">
        <v>464</v>
      </c>
      <c r="H805">
        <v>292.91000000000003</v>
      </c>
      <c r="I805">
        <v>135910.24</v>
      </c>
      <c r="J805">
        <v>97141.47</v>
      </c>
      <c r="K805">
        <v>38768.769999999997</v>
      </c>
      <c r="L805" s="2">
        <v>45717</v>
      </c>
    </row>
    <row r="806" spans="1:12" x14ac:dyDescent="0.3">
      <c r="A806" t="s">
        <v>14</v>
      </c>
      <c r="B806" t="s">
        <v>23</v>
      </c>
      <c r="C806" t="s">
        <v>35</v>
      </c>
      <c r="D806" t="s">
        <v>44</v>
      </c>
      <c r="E806" t="s">
        <v>52</v>
      </c>
      <c r="F806" t="s">
        <v>55</v>
      </c>
      <c r="G806">
        <v>250</v>
      </c>
      <c r="H806">
        <v>194.28</v>
      </c>
      <c r="I806">
        <v>48570</v>
      </c>
      <c r="J806">
        <v>30243.59</v>
      </c>
      <c r="K806">
        <v>18326.41</v>
      </c>
      <c r="L806" s="2">
        <v>45717</v>
      </c>
    </row>
    <row r="807" spans="1:12" x14ac:dyDescent="0.3">
      <c r="A807" t="s">
        <v>15</v>
      </c>
      <c r="B807" t="s">
        <v>33</v>
      </c>
      <c r="C807" t="s">
        <v>34</v>
      </c>
      <c r="D807" t="s">
        <v>37</v>
      </c>
      <c r="E807" t="s">
        <v>52</v>
      </c>
      <c r="F807" t="s">
        <v>53</v>
      </c>
      <c r="G807">
        <v>487</v>
      </c>
      <c r="H807">
        <v>118.44</v>
      </c>
      <c r="I807">
        <v>57680.28</v>
      </c>
      <c r="J807">
        <v>48227.18</v>
      </c>
      <c r="K807">
        <v>9453.1</v>
      </c>
      <c r="L807" s="2">
        <v>45717</v>
      </c>
    </row>
    <row r="808" spans="1:12" x14ac:dyDescent="0.3">
      <c r="A808" t="s">
        <v>15</v>
      </c>
      <c r="B808" t="s">
        <v>20</v>
      </c>
      <c r="C808" t="s">
        <v>35</v>
      </c>
      <c r="D808" t="s">
        <v>46</v>
      </c>
      <c r="E808" t="s">
        <v>50</v>
      </c>
      <c r="F808" t="s">
        <v>53</v>
      </c>
      <c r="G808">
        <v>107</v>
      </c>
      <c r="H808">
        <v>127.2</v>
      </c>
      <c r="I808">
        <v>13610.4</v>
      </c>
      <c r="J808">
        <v>9279</v>
      </c>
      <c r="K808">
        <v>4331.3999999999996</v>
      </c>
      <c r="L808" s="2">
        <v>45717</v>
      </c>
    </row>
    <row r="809" spans="1:12" x14ac:dyDescent="0.3">
      <c r="A809" t="s">
        <v>15</v>
      </c>
      <c r="B809" t="s">
        <v>21</v>
      </c>
      <c r="C809" t="s">
        <v>34</v>
      </c>
      <c r="D809" t="s">
        <v>37</v>
      </c>
      <c r="E809" t="s">
        <v>50</v>
      </c>
      <c r="F809" t="s">
        <v>55</v>
      </c>
      <c r="G809">
        <v>308</v>
      </c>
      <c r="H809">
        <v>183.72</v>
      </c>
      <c r="I809">
        <v>56585.760000000002</v>
      </c>
      <c r="J809">
        <v>45647.72</v>
      </c>
      <c r="K809">
        <v>10938.04</v>
      </c>
      <c r="L809" s="2">
        <v>45717</v>
      </c>
    </row>
    <row r="810" spans="1:12" x14ac:dyDescent="0.3">
      <c r="A810" t="s">
        <v>13</v>
      </c>
      <c r="B810" t="s">
        <v>26</v>
      </c>
      <c r="C810" t="s">
        <v>35</v>
      </c>
      <c r="D810" t="s">
        <v>46</v>
      </c>
      <c r="E810" t="s">
        <v>51</v>
      </c>
      <c r="F810" t="s">
        <v>53</v>
      </c>
      <c r="G810">
        <v>159</v>
      </c>
      <c r="H810">
        <v>16.86</v>
      </c>
      <c r="I810">
        <v>2680.74</v>
      </c>
      <c r="J810">
        <v>2038.68</v>
      </c>
      <c r="K810">
        <v>642.05999999999995</v>
      </c>
      <c r="L810" s="2">
        <v>45717</v>
      </c>
    </row>
    <row r="811" spans="1:12" x14ac:dyDescent="0.3">
      <c r="A811" t="s">
        <v>14</v>
      </c>
      <c r="B811" t="s">
        <v>23</v>
      </c>
      <c r="C811" t="s">
        <v>34</v>
      </c>
      <c r="D811" t="s">
        <v>38</v>
      </c>
      <c r="E811" t="s">
        <v>51</v>
      </c>
      <c r="F811" t="s">
        <v>53</v>
      </c>
      <c r="G811">
        <v>51</v>
      </c>
      <c r="H811">
        <v>166.52</v>
      </c>
      <c r="I811">
        <v>8492.52</v>
      </c>
      <c r="J811">
        <v>6428.73</v>
      </c>
      <c r="K811">
        <v>2063.79</v>
      </c>
      <c r="L811" s="2">
        <v>45717</v>
      </c>
    </row>
    <row r="812" spans="1:12" x14ac:dyDescent="0.3">
      <c r="A812" t="s">
        <v>16</v>
      </c>
      <c r="B812" t="s">
        <v>28</v>
      </c>
      <c r="C812" t="s">
        <v>34</v>
      </c>
      <c r="D812" t="s">
        <v>38</v>
      </c>
      <c r="E812" t="s">
        <v>48</v>
      </c>
      <c r="F812" t="s">
        <v>55</v>
      </c>
      <c r="G812">
        <v>492</v>
      </c>
      <c r="H812">
        <v>204.72</v>
      </c>
      <c r="I812">
        <v>100722.24000000001</v>
      </c>
      <c r="J812">
        <v>68413.63</v>
      </c>
      <c r="K812">
        <v>32308.61</v>
      </c>
      <c r="L812" s="2">
        <v>45717</v>
      </c>
    </row>
    <row r="813" spans="1:12" x14ac:dyDescent="0.3">
      <c r="A813" t="s">
        <v>15</v>
      </c>
      <c r="B813" t="s">
        <v>20</v>
      </c>
      <c r="C813" t="s">
        <v>34</v>
      </c>
      <c r="D813" t="s">
        <v>45</v>
      </c>
      <c r="E813" t="s">
        <v>49</v>
      </c>
      <c r="F813" t="s">
        <v>54</v>
      </c>
      <c r="G813">
        <v>258</v>
      </c>
      <c r="H813">
        <v>18.48</v>
      </c>
      <c r="I813">
        <v>4767.84</v>
      </c>
      <c r="J813">
        <v>3845.04</v>
      </c>
      <c r="K813">
        <v>922.8</v>
      </c>
      <c r="L813" s="2">
        <v>45717</v>
      </c>
    </row>
    <row r="814" spans="1:12" x14ac:dyDescent="0.3">
      <c r="A814" t="s">
        <v>16</v>
      </c>
      <c r="B814" t="s">
        <v>24</v>
      </c>
      <c r="C814" t="s">
        <v>35</v>
      </c>
      <c r="D814" t="s">
        <v>44</v>
      </c>
      <c r="E814" t="s">
        <v>49</v>
      </c>
      <c r="F814" t="s">
        <v>55</v>
      </c>
      <c r="G814">
        <v>324</v>
      </c>
      <c r="H814">
        <v>296.08999999999997</v>
      </c>
      <c r="I814">
        <v>95933.16</v>
      </c>
      <c r="J814">
        <v>72088.37</v>
      </c>
      <c r="K814">
        <v>23844.79</v>
      </c>
      <c r="L814" s="2">
        <v>45717</v>
      </c>
    </row>
    <row r="815" spans="1:12" x14ac:dyDescent="0.3">
      <c r="A815" t="s">
        <v>14</v>
      </c>
      <c r="B815" t="s">
        <v>18</v>
      </c>
      <c r="C815" t="s">
        <v>34</v>
      </c>
      <c r="D815" t="s">
        <v>36</v>
      </c>
      <c r="E815" t="s">
        <v>49</v>
      </c>
      <c r="F815" t="s">
        <v>53</v>
      </c>
      <c r="G815">
        <v>120</v>
      </c>
      <c r="H815">
        <v>181.95</v>
      </c>
      <c r="I815">
        <v>21834</v>
      </c>
      <c r="J815">
        <v>16263.14</v>
      </c>
      <c r="K815">
        <v>5570.86</v>
      </c>
      <c r="L815" s="2">
        <v>45717</v>
      </c>
    </row>
    <row r="816" spans="1:12" x14ac:dyDescent="0.3">
      <c r="A816" t="s">
        <v>13</v>
      </c>
      <c r="B816" t="s">
        <v>17</v>
      </c>
      <c r="C816" t="s">
        <v>35</v>
      </c>
      <c r="D816" t="s">
        <v>47</v>
      </c>
      <c r="E816" t="s">
        <v>52</v>
      </c>
      <c r="F816" t="s">
        <v>54</v>
      </c>
      <c r="G816">
        <v>93</v>
      </c>
      <c r="H816">
        <v>189.71</v>
      </c>
      <c r="I816">
        <v>17643.03</v>
      </c>
      <c r="J816">
        <v>13064.63</v>
      </c>
      <c r="K816">
        <v>4578.3999999999996</v>
      </c>
      <c r="L816" s="2">
        <v>45717</v>
      </c>
    </row>
    <row r="817" spans="1:12" x14ac:dyDescent="0.3">
      <c r="A817" t="s">
        <v>16</v>
      </c>
      <c r="B817" t="s">
        <v>22</v>
      </c>
      <c r="C817" t="s">
        <v>35</v>
      </c>
      <c r="D817" t="s">
        <v>41</v>
      </c>
      <c r="E817" t="s">
        <v>52</v>
      </c>
      <c r="F817" t="s">
        <v>55</v>
      </c>
      <c r="G817">
        <v>76</v>
      </c>
      <c r="H817">
        <v>192.04</v>
      </c>
      <c r="I817">
        <v>14595.04</v>
      </c>
      <c r="J817">
        <v>9979.01</v>
      </c>
      <c r="K817">
        <v>4616.03</v>
      </c>
      <c r="L817" s="2">
        <v>45748</v>
      </c>
    </row>
    <row r="818" spans="1:12" x14ac:dyDescent="0.3">
      <c r="A818" t="s">
        <v>16</v>
      </c>
      <c r="B818" t="s">
        <v>28</v>
      </c>
      <c r="C818" t="s">
        <v>35</v>
      </c>
      <c r="D818" t="s">
        <v>44</v>
      </c>
      <c r="E818" t="s">
        <v>49</v>
      </c>
      <c r="F818" t="s">
        <v>54</v>
      </c>
      <c r="G818">
        <v>385</v>
      </c>
      <c r="H818">
        <v>162.68</v>
      </c>
      <c r="I818">
        <v>62631.8</v>
      </c>
      <c r="J818">
        <v>39337.54</v>
      </c>
      <c r="K818">
        <v>23294.26</v>
      </c>
      <c r="L818" s="2">
        <v>45748</v>
      </c>
    </row>
    <row r="819" spans="1:12" x14ac:dyDescent="0.3">
      <c r="A819" t="s">
        <v>16</v>
      </c>
      <c r="B819" t="s">
        <v>22</v>
      </c>
      <c r="C819" t="s">
        <v>35</v>
      </c>
      <c r="D819" t="s">
        <v>44</v>
      </c>
      <c r="E819" t="s">
        <v>52</v>
      </c>
      <c r="F819" t="s">
        <v>54</v>
      </c>
      <c r="G819">
        <v>115</v>
      </c>
      <c r="H819">
        <v>254.99</v>
      </c>
      <c r="I819">
        <v>29323.85</v>
      </c>
      <c r="J819">
        <v>19560.03</v>
      </c>
      <c r="K819">
        <v>9763.82</v>
      </c>
      <c r="L819" s="2">
        <v>45748</v>
      </c>
    </row>
    <row r="820" spans="1:12" x14ac:dyDescent="0.3">
      <c r="A820" t="s">
        <v>13</v>
      </c>
      <c r="B820" t="s">
        <v>17</v>
      </c>
      <c r="C820" t="s">
        <v>34</v>
      </c>
      <c r="D820" t="s">
        <v>45</v>
      </c>
      <c r="E820" t="s">
        <v>52</v>
      </c>
      <c r="F820" t="s">
        <v>53</v>
      </c>
      <c r="G820">
        <v>330</v>
      </c>
      <c r="H820">
        <v>142.88999999999999</v>
      </c>
      <c r="I820">
        <v>47153.7</v>
      </c>
      <c r="J820">
        <v>37503.089999999997</v>
      </c>
      <c r="K820">
        <v>9650.61</v>
      </c>
      <c r="L820" s="2">
        <v>45748</v>
      </c>
    </row>
    <row r="821" spans="1:12" x14ac:dyDescent="0.3">
      <c r="A821" t="s">
        <v>13</v>
      </c>
      <c r="B821" t="s">
        <v>26</v>
      </c>
      <c r="C821" t="s">
        <v>34</v>
      </c>
      <c r="D821" t="s">
        <v>43</v>
      </c>
      <c r="E821" t="s">
        <v>52</v>
      </c>
      <c r="F821" t="s">
        <v>54</v>
      </c>
      <c r="G821">
        <v>267</v>
      </c>
      <c r="H821">
        <v>48.2</v>
      </c>
      <c r="I821">
        <v>12869.4</v>
      </c>
      <c r="J821">
        <v>10057.370000000001</v>
      </c>
      <c r="K821">
        <v>2812.03</v>
      </c>
      <c r="L821" s="2">
        <v>45748</v>
      </c>
    </row>
    <row r="822" spans="1:12" x14ac:dyDescent="0.3">
      <c r="A822" t="s">
        <v>15</v>
      </c>
      <c r="B822" t="s">
        <v>29</v>
      </c>
      <c r="C822" t="s">
        <v>34</v>
      </c>
      <c r="D822" t="s">
        <v>36</v>
      </c>
      <c r="E822" t="s">
        <v>52</v>
      </c>
      <c r="F822" t="s">
        <v>54</v>
      </c>
      <c r="G822">
        <v>72</v>
      </c>
      <c r="H822">
        <v>38.67</v>
      </c>
      <c r="I822">
        <v>2784.24</v>
      </c>
      <c r="J822">
        <v>2289.8000000000002</v>
      </c>
      <c r="K822">
        <v>494.44</v>
      </c>
      <c r="L822" s="2">
        <v>45748</v>
      </c>
    </row>
    <row r="823" spans="1:12" x14ac:dyDescent="0.3">
      <c r="A823" t="s">
        <v>16</v>
      </c>
      <c r="B823" t="s">
        <v>28</v>
      </c>
      <c r="C823" t="s">
        <v>35</v>
      </c>
      <c r="D823" t="s">
        <v>39</v>
      </c>
      <c r="E823" t="s">
        <v>48</v>
      </c>
      <c r="F823" t="s">
        <v>54</v>
      </c>
      <c r="G823">
        <v>122</v>
      </c>
      <c r="H823">
        <v>172.35</v>
      </c>
      <c r="I823">
        <v>21026.7</v>
      </c>
      <c r="J823">
        <v>13224.97</v>
      </c>
      <c r="K823">
        <v>7801.73</v>
      </c>
      <c r="L823" s="2">
        <v>45748</v>
      </c>
    </row>
    <row r="824" spans="1:12" x14ac:dyDescent="0.3">
      <c r="A824" t="s">
        <v>13</v>
      </c>
      <c r="B824" t="s">
        <v>27</v>
      </c>
      <c r="C824" t="s">
        <v>35</v>
      </c>
      <c r="D824" t="s">
        <v>39</v>
      </c>
      <c r="E824" t="s">
        <v>49</v>
      </c>
      <c r="F824" t="s">
        <v>53</v>
      </c>
      <c r="G824">
        <v>144</v>
      </c>
      <c r="H824">
        <v>62.37</v>
      </c>
      <c r="I824">
        <v>8981.2800000000007</v>
      </c>
      <c r="J824">
        <v>5509.7</v>
      </c>
      <c r="K824">
        <v>3471.58</v>
      </c>
      <c r="L824" s="2">
        <v>45748</v>
      </c>
    </row>
    <row r="825" spans="1:12" x14ac:dyDescent="0.3">
      <c r="A825" t="s">
        <v>14</v>
      </c>
      <c r="B825" t="s">
        <v>19</v>
      </c>
      <c r="C825" t="s">
        <v>34</v>
      </c>
      <c r="D825" t="s">
        <v>43</v>
      </c>
      <c r="E825" t="s">
        <v>50</v>
      </c>
      <c r="F825" t="s">
        <v>53</v>
      </c>
      <c r="G825">
        <v>138</v>
      </c>
      <c r="H825">
        <v>23.02</v>
      </c>
      <c r="I825">
        <v>3176.76</v>
      </c>
      <c r="J825">
        <v>2510.44</v>
      </c>
      <c r="K825">
        <v>666.32</v>
      </c>
      <c r="L825" s="2">
        <v>45748</v>
      </c>
    </row>
    <row r="826" spans="1:12" x14ac:dyDescent="0.3">
      <c r="A826" t="s">
        <v>15</v>
      </c>
      <c r="B826" t="s">
        <v>33</v>
      </c>
      <c r="C826" t="s">
        <v>34</v>
      </c>
      <c r="D826" t="s">
        <v>37</v>
      </c>
      <c r="E826" t="s">
        <v>49</v>
      </c>
      <c r="F826" t="s">
        <v>54</v>
      </c>
      <c r="G826">
        <v>231</v>
      </c>
      <c r="H826">
        <v>172.65</v>
      </c>
      <c r="I826">
        <v>39882.15</v>
      </c>
      <c r="J826">
        <v>32543.45</v>
      </c>
      <c r="K826">
        <v>7338.7</v>
      </c>
      <c r="L826" s="2">
        <v>45748</v>
      </c>
    </row>
    <row r="827" spans="1:12" x14ac:dyDescent="0.3">
      <c r="A827" t="s">
        <v>16</v>
      </c>
      <c r="B827" t="s">
        <v>24</v>
      </c>
      <c r="C827" t="s">
        <v>35</v>
      </c>
      <c r="D827" t="s">
        <v>46</v>
      </c>
      <c r="E827" t="s">
        <v>49</v>
      </c>
      <c r="F827" t="s">
        <v>53</v>
      </c>
      <c r="G827">
        <v>253</v>
      </c>
      <c r="H827">
        <v>70.47</v>
      </c>
      <c r="I827">
        <v>17828.91</v>
      </c>
      <c r="J827">
        <v>14845.22</v>
      </c>
      <c r="K827">
        <v>2983.69</v>
      </c>
      <c r="L827" s="2">
        <v>45748</v>
      </c>
    </row>
    <row r="828" spans="1:12" x14ac:dyDescent="0.3">
      <c r="A828" t="s">
        <v>13</v>
      </c>
      <c r="B828" t="s">
        <v>30</v>
      </c>
      <c r="C828" t="s">
        <v>35</v>
      </c>
      <c r="D828" t="s">
        <v>46</v>
      </c>
      <c r="E828" t="s">
        <v>52</v>
      </c>
      <c r="F828" t="s">
        <v>54</v>
      </c>
      <c r="G828">
        <v>403</v>
      </c>
      <c r="H828">
        <v>147.34</v>
      </c>
      <c r="I828">
        <v>59378.02</v>
      </c>
      <c r="J828">
        <v>36486.61</v>
      </c>
      <c r="K828">
        <v>22891.41</v>
      </c>
      <c r="L828" s="2">
        <v>45748</v>
      </c>
    </row>
    <row r="829" spans="1:12" x14ac:dyDescent="0.3">
      <c r="A829" t="s">
        <v>14</v>
      </c>
      <c r="B829" t="s">
        <v>23</v>
      </c>
      <c r="C829" t="s">
        <v>34</v>
      </c>
      <c r="D829" t="s">
        <v>43</v>
      </c>
      <c r="E829" t="s">
        <v>49</v>
      </c>
      <c r="F829" t="s">
        <v>54</v>
      </c>
      <c r="G829">
        <v>95</v>
      </c>
      <c r="H829">
        <v>94.27</v>
      </c>
      <c r="I829">
        <v>8955.65</v>
      </c>
      <c r="J829">
        <v>7135.35</v>
      </c>
      <c r="K829">
        <v>1820.3</v>
      </c>
      <c r="L829" s="2">
        <v>45748</v>
      </c>
    </row>
    <row r="830" spans="1:12" x14ac:dyDescent="0.3">
      <c r="A830" t="s">
        <v>13</v>
      </c>
      <c r="B830" t="s">
        <v>27</v>
      </c>
      <c r="C830" t="s">
        <v>35</v>
      </c>
      <c r="D830" t="s">
        <v>46</v>
      </c>
      <c r="E830" t="s">
        <v>49</v>
      </c>
      <c r="F830" t="s">
        <v>55</v>
      </c>
      <c r="G830">
        <v>434</v>
      </c>
      <c r="H830">
        <v>16.39</v>
      </c>
      <c r="I830">
        <v>7113.26</v>
      </c>
      <c r="J830">
        <v>5548.36</v>
      </c>
      <c r="K830">
        <v>1564.9</v>
      </c>
      <c r="L830" s="2">
        <v>45748</v>
      </c>
    </row>
    <row r="831" spans="1:12" x14ac:dyDescent="0.3">
      <c r="A831" t="s">
        <v>15</v>
      </c>
      <c r="B831" t="s">
        <v>33</v>
      </c>
      <c r="C831" t="s">
        <v>34</v>
      </c>
      <c r="D831" t="s">
        <v>37</v>
      </c>
      <c r="E831" t="s">
        <v>49</v>
      </c>
      <c r="F831" t="s">
        <v>55</v>
      </c>
      <c r="G831">
        <v>237</v>
      </c>
      <c r="H831">
        <v>165.76</v>
      </c>
      <c r="I831">
        <v>39285.120000000003</v>
      </c>
      <c r="J831">
        <v>29334.6</v>
      </c>
      <c r="K831">
        <v>9950.52</v>
      </c>
      <c r="L831" s="2">
        <v>45748</v>
      </c>
    </row>
    <row r="832" spans="1:12" x14ac:dyDescent="0.3">
      <c r="A832" t="s">
        <v>14</v>
      </c>
      <c r="B832" t="s">
        <v>19</v>
      </c>
      <c r="C832" t="s">
        <v>35</v>
      </c>
      <c r="D832" t="s">
        <v>44</v>
      </c>
      <c r="E832" t="s">
        <v>49</v>
      </c>
      <c r="F832" t="s">
        <v>55</v>
      </c>
      <c r="G832">
        <v>191</v>
      </c>
      <c r="H832">
        <v>87.34</v>
      </c>
      <c r="I832">
        <v>16681.939999999999</v>
      </c>
      <c r="J832">
        <v>13032.17</v>
      </c>
      <c r="K832">
        <v>3649.77</v>
      </c>
      <c r="L832" s="2">
        <v>45748</v>
      </c>
    </row>
    <row r="833" spans="1:12" x14ac:dyDescent="0.3">
      <c r="A833" t="s">
        <v>13</v>
      </c>
      <c r="B833" t="s">
        <v>17</v>
      </c>
      <c r="C833" t="s">
        <v>35</v>
      </c>
      <c r="D833" t="s">
        <v>47</v>
      </c>
      <c r="E833" t="s">
        <v>49</v>
      </c>
      <c r="F833" t="s">
        <v>53</v>
      </c>
      <c r="G833">
        <v>130</v>
      </c>
      <c r="H833">
        <v>287.83999999999997</v>
      </c>
      <c r="I833">
        <v>37419.199999999997</v>
      </c>
      <c r="J833">
        <v>25893.53</v>
      </c>
      <c r="K833">
        <v>11525.67</v>
      </c>
      <c r="L833" s="2">
        <v>45748</v>
      </c>
    </row>
    <row r="834" spans="1:12" x14ac:dyDescent="0.3">
      <c r="A834" t="s">
        <v>15</v>
      </c>
      <c r="B834" t="s">
        <v>20</v>
      </c>
      <c r="C834" t="s">
        <v>34</v>
      </c>
      <c r="D834" t="s">
        <v>45</v>
      </c>
      <c r="E834" t="s">
        <v>49</v>
      </c>
      <c r="F834" t="s">
        <v>55</v>
      </c>
      <c r="G834">
        <v>353</v>
      </c>
      <c r="H834">
        <v>164.16</v>
      </c>
      <c r="I834">
        <v>57948.480000000003</v>
      </c>
      <c r="J834">
        <v>47515.76</v>
      </c>
      <c r="K834">
        <v>10432.719999999999</v>
      </c>
      <c r="L834" s="2">
        <v>45748</v>
      </c>
    </row>
    <row r="835" spans="1:12" x14ac:dyDescent="0.3">
      <c r="A835" t="s">
        <v>15</v>
      </c>
      <c r="B835" t="s">
        <v>31</v>
      </c>
      <c r="C835" t="s">
        <v>35</v>
      </c>
      <c r="D835" t="s">
        <v>39</v>
      </c>
      <c r="E835" t="s">
        <v>51</v>
      </c>
      <c r="F835" t="s">
        <v>55</v>
      </c>
      <c r="G835">
        <v>101</v>
      </c>
      <c r="H835">
        <v>213.71</v>
      </c>
      <c r="I835">
        <v>21584.71</v>
      </c>
      <c r="J835">
        <v>15970.79</v>
      </c>
      <c r="K835">
        <v>5613.92</v>
      </c>
      <c r="L835" s="2">
        <v>45748</v>
      </c>
    </row>
    <row r="836" spans="1:12" x14ac:dyDescent="0.3">
      <c r="A836" t="s">
        <v>14</v>
      </c>
      <c r="B836" t="s">
        <v>19</v>
      </c>
      <c r="C836" t="s">
        <v>35</v>
      </c>
      <c r="D836" t="s">
        <v>44</v>
      </c>
      <c r="E836" t="s">
        <v>50</v>
      </c>
      <c r="F836" t="s">
        <v>55</v>
      </c>
      <c r="G836">
        <v>425</v>
      </c>
      <c r="H836">
        <v>96.66</v>
      </c>
      <c r="I836">
        <v>41080.5</v>
      </c>
      <c r="J836">
        <v>34252.94</v>
      </c>
      <c r="K836">
        <v>6827.56</v>
      </c>
      <c r="L836" s="2">
        <v>45748</v>
      </c>
    </row>
    <row r="837" spans="1:12" x14ac:dyDescent="0.3">
      <c r="A837" t="s">
        <v>16</v>
      </c>
      <c r="B837" t="s">
        <v>28</v>
      </c>
      <c r="C837" t="s">
        <v>34</v>
      </c>
      <c r="D837" t="s">
        <v>36</v>
      </c>
      <c r="E837" t="s">
        <v>51</v>
      </c>
      <c r="F837" t="s">
        <v>54</v>
      </c>
      <c r="G837">
        <v>384</v>
      </c>
      <c r="H837">
        <v>164.48</v>
      </c>
      <c r="I837">
        <v>63160.32</v>
      </c>
      <c r="J837">
        <v>47924.3</v>
      </c>
      <c r="K837">
        <v>15236.02</v>
      </c>
      <c r="L837" s="2">
        <v>45748</v>
      </c>
    </row>
    <row r="838" spans="1:12" x14ac:dyDescent="0.3">
      <c r="A838" t="s">
        <v>15</v>
      </c>
      <c r="B838" t="s">
        <v>29</v>
      </c>
      <c r="C838" t="s">
        <v>35</v>
      </c>
      <c r="D838" t="s">
        <v>44</v>
      </c>
      <c r="E838" t="s">
        <v>51</v>
      </c>
      <c r="F838" t="s">
        <v>53</v>
      </c>
      <c r="G838">
        <v>328</v>
      </c>
      <c r="H838">
        <v>73.98</v>
      </c>
      <c r="I838">
        <v>24265.439999999999</v>
      </c>
      <c r="J838">
        <v>18188.310000000001</v>
      </c>
      <c r="K838">
        <v>6077.13</v>
      </c>
      <c r="L838" s="2">
        <v>45748</v>
      </c>
    </row>
    <row r="839" spans="1:12" x14ac:dyDescent="0.3">
      <c r="A839" t="s">
        <v>13</v>
      </c>
      <c r="B839" t="s">
        <v>26</v>
      </c>
      <c r="C839" t="s">
        <v>35</v>
      </c>
      <c r="D839" t="s">
        <v>41</v>
      </c>
      <c r="E839" t="s">
        <v>48</v>
      </c>
      <c r="F839" t="s">
        <v>55</v>
      </c>
      <c r="G839">
        <v>233</v>
      </c>
      <c r="H839">
        <v>29.45</v>
      </c>
      <c r="I839">
        <v>6861.85</v>
      </c>
      <c r="J839">
        <v>5403.64</v>
      </c>
      <c r="K839">
        <v>1458.21</v>
      </c>
      <c r="L839" s="2">
        <v>45748</v>
      </c>
    </row>
    <row r="840" spans="1:12" x14ac:dyDescent="0.3">
      <c r="A840" t="s">
        <v>13</v>
      </c>
      <c r="B840" t="s">
        <v>17</v>
      </c>
      <c r="C840" t="s">
        <v>35</v>
      </c>
      <c r="D840" t="s">
        <v>41</v>
      </c>
      <c r="E840" t="s">
        <v>50</v>
      </c>
      <c r="F840" t="s">
        <v>55</v>
      </c>
      <c r="G840">
        <v>423</v>
      </c>
      <c r="H840">
        <v>10.07</v>
      </c>
      <c r="I840">
        <v>4259.6099999999997</v>
      </c>
      <c r="J840">
        <v>2753.28</v>
      </c>
      <c r="K840">
        <v>1506.33</v>
      </c>
      <c r="L840" s="2">
        <v>45748</v>
      </c>
    </row>
    <row r="841" spans="1:12" x14ac:dyDescent="0.3">
      <c r="A841" t="s">
        <v>15</v>
      </c>
      <c r="B841" t="s">
        <v>21</v>
      </c>
      <c r="C841" t="s">
        <v>34</v>
      </c>
      <c r="D841" t="s">
        <v>45</v>
      </c>
      <c r="E841" t="s">
        <v>52</v>
      </c>
      <c r="F841" t="s">
        <v>55</v>
      </c>
      <c r="G841">
        <v>20</v>
      </c>
      <c r="H841">
        <v>85.23</v>
      </c>
      <c r="I841">
        <v>1704.6</v>
      </c>
      <c r="J841">
        <v>1184.57</v>
      </c>
      <c r="K841">
        <v>520.03</v>
      </c>
      <c r="L841" s="2">
        <v>45748</v>
      </c>
    </row>
    <row r="842" spans="1:12" x14ac:dyDescent="0.3">
      <c r="A842" t="s">
        <v>15</v>
      </c>
      <c r="B842" t="s">
        <v>21</v>
      </c>
      <c r="C842" t="s">
        <v>34</v>
      </c>
      <c r="D842" t="s">
        <v>37</v>
      </c>
      <c r="E842" t="s">
        <v>48</v>
      </c>
      <c r="F842" t="s">
        <v>55</v>
      </c>
      <c r="G842">
        <v>340</v>
      </c>
      <c r="H842">
        <v>35.49</v>
      </c>
      <c r="I842">
        <v>12066.6</v>
      </c>
      <c r="J842">
        <v>9670.9699999999993</v>
      </c>
      <c r="K842">
        <v>2395.63</v>
      </c>
      <c r="L842" s="2">
        <v>45748</v>
      </c>
    </row>
    <row r="843" spans="1:12" x14ac:dyDescent="0.3">
      <c r="A843" t="s">
        <v>15</v>
      </c>
      <c r="B843" t="s">
        <v>21</v>
      </c>
      <c r="C843" t="s">
        <v>35</v>
      </c>
      <c r="D843" t="s">
        <v>39</v>
      </c>
      <c r="E843" t="s">
        <v>51</v>
      </c>
      <c r="F843" t="s">
        <v>54</v>
      </c>
      <c r="G843">
        <v>117</v>
      </c>
      <c r="H843">
        <v>221.66</v>
      </c>
      <c r="I843">
        <v>25934.22</v>
      </c>
      <c r="J843">
        <v>21280.7</v>
      </c>
      <c r="K843">
        <v>4653.5200000000004</v>
      </c>
      <c r="L843" s="2">
        <v>45748</v>
      </c>
    </row>
    <row r="844" spans="1:12" x14ac:dyDescent="0.3">
      <c r="A844" t="s">
        <v>16</v>
      </c>
      <c r="B844" t="s">
        <v>22</v>
      </c>
      <c r="C844" t="s">
        <v>35</v>
      </c>
      <c r="D844" t="s">
        <v>47</v>
      </c>
      <c r="E844" t="s">
        <v>50</v>
      </c>
      <c r="F844" t="s">
        <v>54</v>
      </c>
      <c r="G844">
        <v>420</v>
      </c>
      <c r="H844">
        <v>261.3</v>
      </c>
      <c r="I844">
        <v>109746</v>
      </c>
      <c r="J844">
        <v>81536.039999999994</v>
      </c>
      <c r="K844">
        <v>28209.96</v>
      </c>
      <c r="L844" s="2">
        <v>45748</v>
      </c>
    </row>
    <row r="845" spans="1:12" x14ac:dyDescent="0.3">
      <c r="A845" t="s">
        <v>13</v>
      </c>
      <c r="B845" t="s">
        <v>26</v>
      </c>
      <c r="C845" t="s">
        <v>34</v>
      </c>
      <c r="D845" t="s">
        <v>45</v>
      </c>
      <c r="E845" t="s">
        <v>48</v>
      </c>
      <c r="F845" t="s">
        <v>53</v>
      </c>
      <c r="G845">
        <v>37</v>
      </c>
      <c r="H845">
        <v>59.84</v>
      </c>
      <c r="I845">
        <v>2214.08</v>
      </c>
      <c r="J845">
        <v>1681.53</v>
      </c>
      <c r="K845">
        <v>532.54999999999995</v>
      </c>
      <c r="L845" s="2">
        <v>45748</v>
      </c>
    </row>
    <row r="846" spans="1:12" x14ac:dyDescent="0.3">
      <c r="A846" t="s">
        <v>16</v>
      </c>
      <c r="B846" t="s">
        <v>24</v>
      </c>
      <c r="C846" t="s">
        <v>34</v>
      </c>
      <c r="D846" t="s">
        <v>43</v>
      </c>
      <c r="E846" t="s">
        <v>48</v>
      </c>
      <c r="F846" t="s">
        <v>55</v>
      </c>
      <c r="G846">
        <v>137</v>
      </c>
      <c r="H846">
        <v>244.66</v>
      </c>
      <c r="I846">
        <v>33518.42</v>
      </c>
      <c r="J846">
        <v>27522.18</v>
      </c>
      <c r="K846">
        <v>5996.24</v>
      </c>
      <c r="L846" s="2">
        <v>45748</v>
      </c>
    </row>
    <row r="847" spans="1:12" x14ac:dyDescent="0.3">
      <c r="A847" t="s">
        <v>13</v>
      </c>
      <c r="B847" t="s">
        <v>17</v>
      </c>
      <c r="C847" t="s">
        <v>35</v>
      </c>
      <c r="D847" t="s">
        <v>46</v>
      </c>
      <c r="E847" t="s">
        <v>51</v>
      </c>
      <c r="F847" t="s">
        <v>55</v>
      </c>
      <c r="G847">
        <v>436</v>
      </c>
      <c r="H847">
        <v>15.29</v>
      </c>
      <c r="I847">
        <v>6666.44</v>
      </c>
      <c r="J847">
        <v>4326.1499999999996</v>
      </c>
      <c r="K847">
        <v>2340.29</v>
      </c>
      <c r="L847" s="2">
        <v>45778</v>
      </c>
    </row>
    <row r="848" spans="1:12" x14ac:dyDescent="0.3">
      <c r="A848" t="s">
        <v>16</v>
      </c>
      <c r="B848" t="s">
        <v>25</v>
      </c>
      <c r="C848" t="s">
        <v>34</v>
      </c>
      <c r="D848" t="s">
        <v>45</v>
      </c>
      <c r="E848" t="s">
        <v>49</v>
      </c>
      <c r="F848" t="s">
        <v>54</v>
      </c>
      <c r="G848">
        <v>356</v>
      </c>
      <c r="H848">
        <v>225.64</v>
      </c>
      <c r="I848">
        <v>80327.839999999997</v>
      </c>
      <c r="J848">
        <v>58363.519999999997</v>
      </c>
      <c r="K848">
        <v>21964.32</v>
      </c>
      <c r="L848" s="2">
        <v>45778</v>
      </c>
    </row>
    <row r="849" spans="1:12" x14ac:dyDescent="0.3">
      <c r="A849" t="s">
        <v>16</v>
      </c>
      <c r="B849" t="s">
        <v>22</v>
      </c>
      <c r="C849" t="s">
        <v>35</v>
      </c>
      <c r="D849" t="s">
        <v>41</v>
      </c>
      <c r="E849" t="s">
        <v>48</v>
      </c>
      <c r="F849" t="s">
        <v>54</v>
      </c>
      <c r="G849">
        <v>403</v>
      </c>
      <c r="H849">
        <v>267</v>
      </c>
      <c r="I849">
        <v>107601</v>
      </c>
      <c r="J849">
        <v>80513.64</v>
      </c>
      <c r="K849">
        <v>27087.360000000001</v>
      </c>
      <c r="L849" s="2">
        <v>45778</v>
      </c>
    </row>
    <row r="850" spans="1:12" x14ac:dyDescent="0.3">
      <c r="A850" t="s">
        <v>15</v>
      </c>
      <c r="B850" t="s">
        <v>20</v>
      </c>
      <c r="C850" t="s">
        <v>34</v>
      </c>
      <c r="D850" t="s">
        <v>43</v>
      </c>
      <c r="E850" t="s">
        <v>49</v>
      </c>
      <c r="F850" t="s">
        <v>55</v>
      </c>
      <c r="G850">
        <v>394</v>
      </c>
      <c r="H850">
        <v>30.9</v>
      </c>
      <c r="I850">
        <v>12174.6</v>
      </c>
      <c r="J850">
        <v>7521.64</v>
      </c>
      <c r="K850">
        <v>4652.96</v>
      </c>
      <c r="L850" s="2">
        <v>45778</v>
      </c>
    </row>
    <row r="851" spans="1:12" x14ac:dyDescent="0.3">
      <c r="A851" t="s">
        <v>14</v>
      </c>
      <c r="B851" t="s">
        <v>23</v>
      </c>
      <c r="C851" t="s">
        <v>35</v>
      </c>
      <c r="D851" t="s">
        <v>44</v>
      </c>
      <c r="E851" t="s">
        <v>52</v>
      </c>
      <c r="F851" t="s">
        <v>55</v>
      </c>
      <c r="G851">
        <v>88</v>
      </c>
      <c r="H851">
        <v>141.57</v>
      </c>
      <c r="I851">
        <v>12458.16</v>
      </c>
      <c r="J851">
        <v>9126.7099999999991</v>
      </c>
      <c r="K851">
        <v>3331.45</v>
      </c>
      <c r="L851" s="2">
        <v>45778</v>
      </c>
    </row>
    <row r="852" spans="1:12" x14ac:dyDescent="0.3">
      <c r="A852" t="s">
        <v>15</v>
      </c>
      <c r="B852" t="s">
        <v>20</v>
      </c>
      <c r="C852" t="s">
        <v>35</v>
      </c>
      <c r="D852" t="s">
        <v>40</v>
      </c>
      <c r="E852" t="s">
        <v>48</v>
      </c>
      <c r="F852" t="s">
        <v>54</v>
      </c>
      <c r="G852">
        <v>242</v>
      </c>
      <c r="H852">
        <v>113.24</v>
      </c>
      <c r="I852">
        <v>27404.080000000002</v>
      </c>
      <c r="J852">
        <v>22568.75</v>
      </c>
      <c r="K852">
        <v>4835.33</v>
      </c>
      <c r="L852" s="2">
        <v>45778</v>
      </c>
    </row>
    <row r="853" spans="1:12" x14ac:dyDescent="0.3">
      <c r="A853" t="s">
        <v>15</v>
      </c>
      <c r="B853" t="s">
        <v>33</v>
      </c>
      <c r="C853" t="s">
        <v>35</v>
      </c>
      <c r="D853" t="s">
        <v>47</v>
      </c>
      <c r="E853" t="s">
        <v>49</v>
      </c>
      <c r="F853" t="s">
        <v>54</v>
      </c>
      <c r="G853">
        <v>198</v>
      </c>
      <c r="H853">
        <v>63.49</v>
      </c>
      <c r="I853">
        <v>12571.02</v>
      </c>
      <c r="J853">
        <v>8484.17</v>
      </c>
      <c r="K853">
        <v>4086.85</v>
      </c>
      <c r="L853" s="2">
        <v>45778</v>
      </c>
    </row>
    <row r="854" spans="1:12" x14ac:dyDescent="0.3">
      <c r="A854" t="s">
        <v>16</v>
      </c>
      <c r="B854" t="s">
        <v>24</v>
      </c>
      <c r="C854" t="s">
        <v>34</v>
      </c>
      <c r="D854" t="s">
        <v>37</v>
      </c>
      <c r="E854" t="s">
        <v>48</v>
      </c>
      <c r="F854" t="s">
        <v>53</v>
      </c>
      <c r="G854">
        <v>68</v>
      </c>
      <c r="H854">
        <v>220.43</v>
      </c>
      <c r="I854">
        <v>14989.24</v>
      </c>
      <c r="J854">
        <v>11315.88</v>
      </c>
      <c r="K854">
        <v>3673.36</v>
      </c>
      <c r="L854" s="2">
        <v>45778</v>
      </c>
    </row>
    <row r="855" spans="1:12" x14ac:dyDescent="0.3">
      <c r="A855" t="s">
        <v>13</v>
      </c>
      <c r="B855" t="s">
        <v>30</v>
      </c>
      <c r="C855" t="s">
        <v>34</v>
      </c>
      <c r="D855" t="s">
        <v>43</v>
      </c>
      <c r="E855" t="s">
        <v>50</v>
      </c>
      <c r="F855" t="s">
        <v>54</v>
      </c>
      <c r="G855">
        <v>444</v>
      </c>
      <c r="H855">
        <v>88.92</v>
      </c>
      <c r="I855">
        <v>39480.480000000003</v>
      </c>
      <c r="J855">
        <v>29513.94</v>
      </c>
      <c r="K855">
        <v>9966.5400000000009</v>
      </c>
      <c r="L855" s="2">
        <v>45778</v>
      </c>
    </row>
    <row r="856" spans="1:12" x14ac:dyDescent="0.3">
      <c r="A856" t="s">
        <v>14</v>
      </c>
      <c r="B856" t="s">
        <v>18</v>
      </c>
      <c r="C856" t="s">
        <v>34</v>
      </c>
      <c r="D856" t="s">
        <v>36</v>
      </c>
      <c r="E856" t="s">
        <v>52</v>
      </c>
      <c r="F856" t="s">
        <v>55</v>
      </c>
      <c r="G856">
        <v>421</v>
      </c>
      <c r="H856">
        <v>265.76</v>
      </c>
      <c r="I856">
        <v>111884.96</v>
      </c>
      <c r="J856">
        <v>79088.39</v>
      </c>
      <c r="K856">
        <v>32796.57</v>
      </c>
      <c r="L856" s="2">
        <v>45778</v>
      </c>
    </row>
    <row r="857" spans="1:12" x14ac:dyDescent="0.3">
      <c r="A857" t="s">
        <v>15</v>
      </c>
      <c r="B857" t="s">
        <v>21</v>
      </c>
      <c r="C857" t="s">
        <v>34</v>
      </c>
      <c r="D857" t="s">
        <v>37</v>
      </c>
      <c r="E857" t="s">
        <v>51</v>
      </c>
      <c r="F857" t="s">
        <v>55</v>
      </c>
      <c r="G857">
        <v>442</v>
      </c>
      <c r="H857">
        <v>293.25</v>
      </c>
      <c r="I857">
        <v>129616.5</v>
      </c>
      <c r="J857">
        <v>104444.13</v>
      </c>
      <c r="K857">
        <v>25172.37</v>
      </c>
      <c r="L857" s="2">
        <v>45778</v>
      </c>
    </row>
    <row r="858" spans="1:12" x14ac:dyDescent="0.3">
      <c r="A858" t="s">
        <v>15</v>
      </c>
      <c r="B858" t="s">
        <v>20</v>
      </c>
      <c r="C858" t="s">
        <v>35</v>
      </c>
      <c r="D858" t="s">
        <v>40</v>
      </c>
      <c r="E858" t="s">
        <v>49</v>
      </c>
      <c r="F858" t="s">
        <v>55</v>
      </c>
      <c r="G858">
        <v>74</v>
      </c>
      <c r="H858">
        <v>149.31</v>
      </c>
      <c r="I858">
        <v>11048.94</v>
      </c>
      <c r="J858">
        <v>9350.9599999999991</v>
      </c>
      <c r="K858">
        <v>1697.98</v>
      </c>
      <c r="L858" s="2">
        <v>45778</v>
      </c>
    </row>
    <row r="859" spans="1:12" x14ac:dyDescent="0.3">
      <c r="A859" t="s">
        <v>14</v>
      </c>
      <c r="B859" t="s">
        <v>18</v>
      </c>
      <c r="C859" t="s">
        <v>34</v>
      </c>
      <c r="D859" t="s">
        <v>38</v>
      </c>
      <c r="E859" t="s">
        <v>50</v>
      </c>
      <c r="F859" t="s">
        <v>55</v>
      </c>
      <c r="G859">
        <v>124</v>
      </c>
      <c r="H859">
        <v>211.25</v>
      </c>
      <c r="I859">
        <v>26195</v>
      </c>
      <c r="J859">
        <v>19271.169999999998</v>
      </c>
      <c r="K859">
        <v>6923.83</v>
      </c>
      <c r="L859" s="2">
        <v>45778</v>
      </c>
    </row>
    <row r="860" spans="1:12" x14ac:dyDescent="0.3">
      <c r="A860" t="s">
        <v>15</v>
      </c>
      <c r="B860" t="s">
        <v>31</v>
      </c>
      <c r="C860" t="s">
        <v>35</v>
      </c>
      <c r="D860" t="s">
        <v>41</v>
      </c>
      <c r="E860" t="s">
        <v>51</v>
      </c>
      <c r="F860" t="s">
        <v>55</v>
      </c>
      <c r="G860">
        <v>11</v>
      </c>
      <c r="H860">
        <v>62.48</v>
      </c>
      <c r="I860">
        <v>687.28</v>
      </c>
      <c r="J860">
        <v>559.16999999999996</v>
      </c>
      <c r="K860">
        <v>128.11000000000001</v>
      </c>
      <c r="L860" s="2">
        <v>45778</v>
      </c>
    </row>
    <row r="861" spans="1:12" x14ac:dyDescent="0.3">
      <c r="A861" t="s">
        <v>13</v>
      </c>
      <c r="B861" t="s">
        <v>27</v>
      </c>
      <c r="C861" t="s">
        <v>35</v>
      </c>
      <c r="D861" t="s">
        <v>42</v>
      </c>
      <c r="E861" t="s">
        <v>49</v>
      </c>
      <c r="F861" t="s">
        <v>55</v>
      </c>
      <c r="G861">
        <v>473</v>
      </c>
      <c r="H861">
        <v>256.27</v>
      </c>
      <c r="I861">
        <v>121215.71</v>
      </c>
      <c r="J861">
        <v>80295.350000000006</v>
      </c>
      <c r="K861">
        <v>40920.36</v>
      </c>
      <c r="L861" s="2">
        <v>45778</v>
      </c>
    </row>
    <row r="862" spans="1:12" x14ac:dyDescent="0.3">
      <c r="A862" t="s">
        <v>14</v>
      </c>
      <c r="B862" t="s">
        <v>18</v>
      </c>
      <c r="C862" t="s">
        <v>35</v>
      </c>
      <c r="D862" t="s">
        <v>47</v>
      </c>
      <c r="E862" t="s">
        <v>50</v>
      </c>
      <c r="F862" t="s">
        <v>55</v>
      </c>
      <c r="G862">
        <v>444</v>
      </c>
      <c r="H862">
        <v>267.20999999999998</v>
      </c>
      <c r="I862">
        <v>118641.24</v>
      </c>
      <c r="J862">
        <v>90339.69</v>
      </c>
      <c r="K862">
        <v>28301.55</v>
      </c>
      <c r="L862" s="2">
        <v>45778</v>
      </c>
    </row>
    <row r="863" spans="1:12" x14ac:dyDescent="0.3">
      <c r="A863" t="s">
        <v>14</v>
      </c>
      <c r="B863" t="s">
        <v>23</v>
      </c>
      <c r="C863" t="s">
        <v>34</v>
      </c>
      <c r="D863" t="s">
        <v>38</v>
      </c>
      <c r="E863" t="s">
        <v>50</v>
      </c>
      <c r="F863" t="s">
        <v>54</v>
      </c>
      <c r="G863">
        <v>403</v>
      </c>
      <c r="H863">
        <v>88.87</v>
      </c>
      <c r="I863">
        <v>35814.61</v>
      </c>
      <c r="J863">
        <v>28288.15</v>
      </c>
      <c r="K863">
        <v>7526.46</v>
      </c>
      <c r="L863" s="2">
        <v>45778</v>
      </c>
    </row>
    <row r="864" spans="1:12" x14ac:dyDescent="0.3">
      <c r="A864" t="s">
        <v>13</v>
      </c>
      <c r="B864" t="s">
        <v>17</v>
      </c>
      <c r="C864" t="s">
        <v>34</v>
      </c>
      <c r="D864" t="s">
        <v>38</v>
      </c>
      <c r="E864" t="s">
        <v>51</v>
      </c>
      <c r="F864" t="s">
        <v>55</v>
      </c>
      <c r="G864">
        <v>100</v>
      </c>
      <c r="H864">
        <v>273.74</v>
      </c>
      <c r="I864">
        <v>27374</v>
      </c>
      <c r="J864">
        <v>21366.39</v>
      </c>
      <c r="K864">
        <v>6007.61</v>
      </c>
      <c r="L864" s="2">
        <v>45778</v>
      </c>
    </row>
    <row r="865" spans="1:12" x14ac:dyDescent="0.3">
      <c r="A865" t="s">
        <v>15</v>
      </c>
      <c r="B865" t="s">
        <v>29</v>
      </c>
      <c r="C865" t="s">
        <v>35</v>
      </c>
      <c r="D865" t="s">
        <v>41</v>
      </c>
      <c r="E865" t="s">
        <v>49</v>
      </c>
      <c r="F865" t="s">
        <v>54</v>
      </c>
      <c r="G865">
        <v>269</v>
      </c>
      <c r="H865">
        <v>38.799999999999997</v>
      </c>
      <c r="I865">
        <v>10437.200000000001</v>
      </c>
      <c r="J865">
        <v>6807.31</v>
      </c>
      <c r="K865">
        <v>3629.89</v>
      </c>
      <c r="L865" s="2">
        <v>45778</v>
      </c>
    </row>
    <row r="866" spans="1:12" x14ac:dyDescent="0.3">
      <c r="A866" t="s">
        <v>14</v>
      </c>
      <c r="B866" t="s">
        <v>23</v>
      </c>
      <c r="C866" t="s">
        <v>35</v>
      </c>
      <c r="D866" t="s">
        <v>40</v>
      </c>
      <c r="E866" t="s">
        <v>51</v>
      </c>
      <c r="F866" t="s">
        <v>53</v>
      </c>
      <c r="G866">
        <v>346</v>
      </c>
      <c r="H866">
        <v>213.34</v>
      </c>
      <c r="I866">
        <v>73815.64</v>
      </c>
      <c r="J866">
        <v>57706.42</v>
      </c>
      <c r="K866">
        <v>16109.22</v>
      </c>
      <c r="L866" s="2">
        <v>45778</v>
      </c>
    </row>
    <row r="867" spans="1:12" x14ac:dyDescent="0.3">
      <c r="A867" t="s">
        <v>16</v>
      </c>
      <c r="B867" t="s">
        <v>25</v>
      </c>
      <c r="C867" t="s">
        <v>35</v>
      </c>
      <c r="D867" t="s">
        <v>46</v>
      </c>
      <c r="E867" t="s">
        <v>48</v>
      </c>
      <c r="F867" t="s">
        <v>54</v>
      </c>
      <c r="G867">
        <v>374</v>
      </c>
      <c r="H867">
        <v>54.85</v>
      </c>
      <c r="I867">
        <v>20513.900000000001</v>
      </c>
      <c r="J867">
        <v>15505.09</v>
      </c>
      <c r="K867">
        <v>5008.8100000000004</v>
      </c>
      <c r="L867" s="2">
        <v>45778</v>
      </c>
    </row>
    <row r="868" spans="1:12" x14ac:dyDescent="0.3">
      <c r="A868" t="s">
        <v>15</v>
      </c>
      <c r="B868" t="s">
        <v>33</v>
      </c>
      <c r="C868" t="s">
        <v>34</v>
      </c>
      <c r="D868" t="s">
        <v>43</v>
      </c>
      <c r="E868" t="s">
        <v>52</v>
      </c>
      <c r="F868" t="s">
        <v>54</v>
      </c>
      <c r="G868">
        <v>71</v>
      </c>
      <c r="H868">
        <v>114.06</v>
      </c>
      <c r="I868">
        <v>8098.26</v>
      </c>
      <c r="J868">
        <v>6634.91</v>
      </c>
      <c r="K868">
        <v>1463.35</v>
      </c>
      <c r="L868" s="2">
        <v>45778</v>
      </c>
    </row>
    <row r="869" spans="1:12" x14ac:dyDescent="0.3">
      <c r="A869" t="s">
        <v>16</v>
      </c>
      <c r="B869" t="s">
        <v>28</v>
      </c>
      <c r="C869" t="s">
        <v>34</v>
      </c>
      <c r="D869" t="s">
        <v>43</v>
      </c>
      <c r="E869" t="s">
        <v>49</v>
      </c>
      <c r="F869" t="s">
        <v>53</v>
      </c>
      <c r="G869">
        <v>241</v>
      </c>
      <c r="H869">
        <v>143.83000000000001</v>
      </c>
      <c r="I869">
        <v>34663.03</v>
      </c>
      <c r="J869">
        <v>26319.65</v>
      </c>
      <c r="K869">
        <v>8343.3799999999992</v>
      </c>
      <c r="L869" s="2">
        <v>45778</v>
      </c>
    </row>
    <row r="870" spans="1:12" x14ac:dyDescent="0.3">
      <c r="A870" t="s">
        <v>15</v>
      </c>
      <c r="B870" t="s">
        <v>29</v>
      </c>
      <c r="C870" t="s">
        <v>34</v>
      </c>
      <c r="D870" t="s">
        <v>37</v>
      </c>
      <c r="E870" t="s">
        <v>52</v>
      </c>
      <c r="F870" t="s">
        <v>54</v>
      </c>
      <c r="G870">
        <v>102</v>
      </c>
      <c r="H870">
        <v>107.73</v>
      </c>
      <c r="I870">
        <v>10988.46</v>
      </c>
      <c r="J870">
        <v>8870.11</v>
      </c>
      <c r="K870">
        <v>2118.35</v>
      </c>
      <c r="L870" s="2">
        <v>45778</v>
      </c>
    </row>
    <row r="871" spans="1:12" x14ac:dyDescent="0.3">
      <c r="A871" t="s">
        <v>14</v>
      </c>
      <c r="B871" t="s">
        <v>18</v>
      </c>
      <c r="C871" t="s">
        <v>34</v>
      </c>
      <c r="D871" t="s">
        <v>36</v>
      </c>
      <c r="E871" t="s">
        <v>49</v>
      </c>
      <c r="F871" t="s">
        <v>54</v>
      </c>
      <c r="G871">
        <v>260</v>
      </c>
      <c r="H871">
        <v>127.01</v>
      </c>
      <c r="I871">
        <v>33022.6</v>
      </c>
      <c r="J871">
        <v>20919.939999999999</v>
      </c>
      <c r="K871">
        <v>12102.66</v>
      </c>
      <c r="L871" s="2">
        <v>45778</v>
      </c>
    </row>
    <row r="872" spans="1:12" x14ac:dyDescent="0.3">
      <c r="A872" t="s">
        <v>15</v>
      </c>
      <c r="B872" t="s">
        <v>33</v>
      </c>
      <c r="C872" t="s">
        <v>35</v>
      </c>
      <c r="D872" t="s">
        <v>44</v>
      </c>
      <c r="E872" t="s">
        <v>52</v>
      </c>
      <c r="F872" t="s">
        <v>54</v>
      </c>
      <c r="G872">
        <v>350</v>
      </c>
      <c r="H872">
        <v>246.37</v>
      </c>
      <c r="I872">
        <v>86229.5</v>
      </c>
      <c r="J872">
        <v>62475.23</v>
      </c>
      <c r="K872">
        <v>23754.27</v>
      </c>
      <c r="L872" s="2">
        <v>45778</v>
      </c>
    </row>
    <row r="873" spans="1:12" x14ac:dyDescent="0.3">
      <c r="A873" t="s">
        <v>13</v>
      </c>
      <c r="B873" t="s">
        <v>27</v>
      </c>
      <c r="C873" t="s">
        <v>34</v>
      </c>
      <c r="D873" t="s">
        <v>36</v>
      </c>
      <c r="E873" t="s">
        <v>50</v>
      </c>
      <c r="F873" t="s">
        <v>55</v>
      </c>
      <c r="G873">
        <v>182</v>
      </c>
      <c r="H873">
        <v>142.96</v>
      </c>
      <c r="I873">
        <v>26018.720000000001</v>
      </c>
      <c r="J873">
        <v>15858.29</v>
      </c>
      <c r="K873">
        <v>10160.43</v>
      </c>
      <c r="L873" s="2">
        <v>45778</v>
      </c>
    </row>
    <row r="874" spans="1:12" x14ac:dyDescent="0.3">
      <c r="A874" t="s">
        <v>14</v>
      </c>
      <c r="B874" t="s">
        <v>19</v>
      </c>
      <c r="C874" t="s">
        <v>35</v>
      </c>
      <c r="D874" t="s">
        <v>39</v>
      </c>
      <c r="E874" t="s">
        <v>52</v>
      </c>
      <c r="F874" t="s">
        <v>54</v>
      </c>
      <c r="G874">
        <v>483</v>
      </c>
      <c r="H874">
        <v>165.25</v>
      </c>
      <c r="I874">
        <v>79815.75</v>
      </c>
      <c r="J874">
        <v>52543.040000000001</v>
      </c>
      <c r="K874">
        <v>27272.71</v>
      </c>
      <c r="L874" s="2">
        <v>45778</v>
      </c>
    </row>
    <row r="875" spans="1:12" x14ac:dyDescent="0.3">
      <c r="A875" t="s">
        <v>14</v>
      </c>
      <c r="B875" t="s">
        <v>19</v>
      </c>
      <c r="C875" t="s">
        <v>35</v>
      </c>
      <c r="D875" t="s">
        <v>40</v>
      </c>
      <c r="E875" t="s">
        <v>50</v>
      </c>
      <c r="F875" t="s">
        <v>54</v>
      </c>
      <c r="G875">
        <v>235</v>
      </c>
      <c r="H875">
        <v>150.38</v>
      </c>
      <c r="I875">
        <v>35339.300000000003</v>
      </c>
      <c r="J875">
        <v>27807.119999999999</v>
      </c>
      <c r="K875">
        <v>7532.18</v>
      </c>
      <c r="L875" s="2">
        <v>45778</v>
      </c>
    </row>
    <row r="876" spans="1:12" x14ac:dyDescent="0.3">
      <c r="A876" t="s">
        <v>13</v>
      </c>
      <c r="B876" t="s">
        <v>30</v>
      </c>
      <c r="C876" t="s">
        <v>35</v>
      </c>
      <c r="D876" t="s">
        <v>39</v>
      </c>
      <c r="E876" t="s">
        <v>52</v>
      </c>
      <c r="F876" t="s">
        <v>54</v>
      </c>
      <c r="G876">
        <v>191</v>
      </c>
      <c r="H876">
        <v>75.31</v>
      </c>
      <c r="I876">
        <v>14384.21</v>
      </c>
      <c r="J876">
        <v>9102.8700000000008</v>
      </c>
      <c r="K876">
        <v>5281.34</v>
      </c>
      <c r="L876" s="2">
        <v>45778</v>
      </c>
    </row>
    <row r="877" spans="1:12" x14ac:dyDescent="0.3">
      <c r="A877" t="s">
        <v>16</v>
      </c>
      <c r="B877" t="s">
        <v>22</v>
      </c>
      <c r="C877" t="s">
        <v>34</v>
      </c>
      <c r="D877" t="s">
        <v>38</v>
      </c>
      <c r="E877" t="s">
        <v>52</v>
      </c>
      <c r="F877" t="s">
        <v>54</v>
      </c>
      <c r="G877">
        <v>456</v>
      </c>
      <c r="H877">
        <v>40.99</v>
      </c>
      <c r="I877">
        <v>18691.439999999999</v>
      </c>
      <c r="J877">
        <v>13865.83</v>
      </c>
      <c r="K877">
        <v>4825.6099999999997</v>
      </c>
      <c r="L877" s="2">
        <v>45778</v>
      </c>
    </row>
    <row r="878" spans="1:12" x14ac:dyDescent="0.3">
      <c r="A878" t="s">
        <v>16</v>
      </c>
      <c r="B878" t="s">
        <v>25</v>
      </c>
      <c r="C878" t="s">
        <v>34</v>
      </c>
      <c r="D878" t="s">
        <v>37</v>
      </c>
      <c r="E878" t="s">
        <v>52</v>
      </c>
      <c r="F878" t="s">
        <v>53</v>
      </c>
      <c r="G878">
        <v>191</v>
      </c>
      <c r="H878">
        <v>252.87</v>
      </c>
      <c r="I878">
        <v>48298.17</v>
      </c>
      <c r="J878">
        <v>32989.42</v>
      </c>
      <c r="K878">
        <v>15308.75</v>
      </c>
      <c r="L878" s="2">
        <v>45778</v>
      </c>
    </row>
    <row r="879" spans="1:12" x14ac:dyDescent="0.3">
      <c r="A879" t="s">
        <v>13</v>
      </c>
      <c r="B879" t="s">
        <v>27</v>
      </c>
      <c r="C879" t="s">
        <v>34</v>
      </c>
      <c r="D879" t="s">
        <v>45</v>
      </c>
      <c r="E879" t="s">
        <v>50</v>
      </c>
      <c r="F879" t="s">
        <v>54</v>
      </c>
      <c r="G879">
        <v>258</v>
      </c>
      <c r="H879">
        <v>170.6</v>
      </c>
      <c r="I879">
        <v>44014.8</v>
      </c>
      <c r="J879">
        <v>29770.78</v>
      </c>
      <c r="K879">
        <v>14244.02</v>
      </c>
      <c r="L879" s="2">
        <v>45778</v>
      </c>
    </row>
    <row r="880" spans="1:12" x14ac:dyDescent="0.3">
      <c r="A880" t="s">
        <v>14</v>
      </c>
      <c r="B880" t="s">
        <v>23</v>
      </c>
      <c r="C880" t="s">
        <v>34</v>
      </c>
      <c r="D880" t="s">
        <v>37</v>
      </c>
      <c r="E880" t="s">
        <v>52</v>
      </c>
      <c r="F880" t="s">
        <v>55</v>
      </c>
      <c r="G880">
        <v>237</v>
      </c>
      <c r="H880">
        <v>92.88</v>
      </c>
      <c r="I880">
        <v>22012.560000000001</v>
      </c>
      <c r="J880">
        <v>14325.9</v>
      </c>
      <c r="K880">
        <v>7686.66</v>
      </c>
      <c r="L880" s="2">
        <v>45778</v>
      </c>
    </row>
    <row r="881" spans="1:12" x14ac:dyDescent="0.3">
      <c r="A881" t="s">
        <v>13</v>
      </c>
      <c r="B881" t="s">
        <v>30</v>
      </c>
      <c r="C881" t="s">
        <v>34</v>
      </c>
      <c r="D881" t="s">
        <v>36</v>
      </c>
      <c r="E881" t="s">
        <v>49</v>
      </c>
      <c r="F881" t="s">
        <v>54</v>
      </c>
      <c r="G881">
        <v>21</v>
      </c>
      <c r="H881">
        <v>291.19</v>
      </c>
      <c r="I881">
        <v>6114.99</v>
      </c>
      <c r="J881">
        <v>5119.95</v>
      </c>
      <c r="K881">
        <v>995.04</v>
      </c>
      <c r="L881" s="2">
        <v>45778</v>
      </c>
    </row>
    <row r="882" spans="1:12" x14ac:dyDescent="0.3">
      <c r="A882" t="s">
        <v>15</v>
      </c>
      <c r="B882" t="s">
        <v>20</v>
      </c>
      <c r="C882" t="s">
        <v>35</v>
      </c>
      <c r="D882" t="s">
        <v>41</v>
      </c>
      <c r="E882" t="s">
        <v>49</v>
      </c>
      <c r="F882" t="s">
        <v>53</v>
      </c>
      <c r="G882">
        <v>17</v>
      </c>
      <c r="H882">
        <v>291.27</v>
      </c>
      <c r="I882">
        <v>4951.59</v>
      </c>
      <c r="J882">
        <v>3087.19</v>
      </c>
      <c r="K882">
        <v>1864.4</v>
      </c>
      <c r="L882" s="2">
        <v>45778</v>
      </c>
    </row>
    <row r="883" spans="1:12" x14ac:dyDescent="0.3">
      <c r="A883" t="s">
        <v>13</v>
      </c>
      <c r="B883" t="s">
        <v>17</v>
      </c>
      <c r="C883" t="s">
        <v>34</v>
      </c>
      <c r="D883" t="s">
        <v>43</v>
      </c>
      <c r="E883" t="s">
        <v>51</v>
      </c>
      <c r="F883" t="s">
        <v>54</v>
      </c>
      <c r="G883">
        <v>343</v>
      </c>
      <c r="H883">
        <v>185.6</v>
      </c>
      <c r="I883">
        <v>63660.800000000003</v>
      </c>
      <c r="J883">
        <v>42129.63</v>
      </c>
      <c r="K883">
        <v>21531.17</v>
      </c>
      <c r="L883" s="2">
        <v>45809</v>
      </c>
    </row>
    <row r="884" spans="1:12" x14ac:dyDescent="0.3">
      <c r="A884" t="s">
        <v>15</v>
      </c>
      <c r="B884" t="s">
        <v>21</v>
      </c>
      <c r="C884" t="s">
        <v>35</v>
      </c>
      <c r="D884" t="s">
        <v>41</v>
      </c>
      <c r="E884" t="s">
        <v>48</v>
      </c>
      <c r="F884" t="s">
        <v>55</v>
      </c>
      <c r="G884">
        <v>36</v>
      </c>
      <c r="H884">
        <v>195.65</v>
      </c>
      <c r="I884">
        <v>7043.4</v>
      </c>
      <c r="J884">
        <v>4703.49</v>
      </c>
      <c r="K884">
        <v>2339.91</v>
      </c>
      <c r="L884" s="2">
        <v>45809</v>
      </c>
    </row>
    <row r="885" spans="1:12" x14ac:dyDescent="0.3">
      <c r="A885" t="s">
        <v>16</v>
      </c>
      <c r="B885" t="s">
        <v>25</v>
      </c>
      <c r="C885" t="s">
        <v>35</v>
      </c>
      <c r="D885" t="s">
        <v>44</v>
      </c>
      <c r="E885" t="s">
        <v>49</v>
      </c>
      <c r="F885" t="s">
        <v>55</v>
      </c>
      <c r="G885">
        <v>363</v>
      </c>
      <c r="H885">
        <v>69.17</v>
      </c>
      <c r="I885">
        <v>25108.71</v>
      </c>
      <c r="J885">
        <v>18549.59</v>
      </c>
      <c r="K885">
        <v>6559.12</v>
      </c>
      <c r="L885" s="2">
        <v>45809</v>
      </c>
    </row>
    <row r="886" spans="1:12" x14ac:dyDescent="0.3">
      <c r="A886" t="s">
        <v>13</v>
      </c>
      <c r="B886" t="s">
        <v>17</v>
      </c>
      <c r="C886" t="s">
        <v>34</v>
      </c>
      <c r="D886" t="s">
        <v>37</v>
      </c>
      <c r="E886" t="s">
        <v>51</v>
      </c>
      <c r="F886" t="s">
        <v>53</v>
      </c>
      <c r="G886">
        <v>45</v>
      </c>
      <c r="H886">
        <v>13.89</v>
      </c>
      <c r="I886">
        <v>625.04999999999995</v>
      </c>
      <c r="J886">
        <v>419.21</v>
      </c>
      <c r="K886">
        <v>205.84</v>
      </c>
      <c r="L886" s="2">
        <v>45809</v>
      </c>
    </row>
    <row r="887" spans="1:12" x14ac:dyDescent="0.3">
      <c r="A887" t="s">
        <v>14</v>
      </c>
      <c r="B887" t="s">
        <v>32</v>
      </c>
      <c r="C887" t="s">
        <v>34</v>
      </c>
      <c r="D887" t="s">
        <v>37</v>
      </c>
      <c r="E887" t="s">
        <v>50</v>
      </c>
      <c r="F887" t="s">
        <v>53</v>
      </c>
      <c r="G887">
        <v>337</v>
      </c>
      <c r="H887">
        <v>217.09</v>
      </c>
      <c r="I887">
        <v>73159.33</v>
      </c>
      <c r="J887">
        <v>58559.07</v>
      </c>
      <c r="K887">
        <v>14600.26</v>
      </c>
      <c r="L887" s="2">
        <v>45809</v>
      </c>
    </row>
    <row r="888" spans="1:12" x14ac:dyDescent="0.3">
      <c r="A888" t="s">
        <v>14</v>
      </c>
      <c r="B888" t="s">
        <v>23</v>
      </c>
      <c r="C888" t="s">
        <v>35</v>
      </c>
      <c r="D888" t="s">
        <v>41</v>
      </c>
      <c r="E888" t="s">
        <v>50</v>
      </c>
      <c r="F888" t="s">
        <v>53</v>
      </c>
      <c r="G888">
        <v>277</v>
      </c>
      <c r="H888">
        <v>58.15</v>
      </c>
      <c r="I888">
        <v>16107.55</v>
      </c>
      <c r="J888">
        <v>12134.92</v>
      </c>
      <c r="K888">
        <v>3972.63</v>
      </c>
      <c r="L888" s="2">
        <v>45809</v>
      </c>
    </row>
    <row r="889" spans="1:12" x14ac:dyDescent="0.3">
      <c r="A889" t="s">
        <v>15</v>
      </c>
      <c r="B889" t="s">
        <v>29</v>
      </c>
      <c r="C889" t="s">
        <v>34</v>
      </c>
      <c r="D889" t="s">
        <v>38</v>
      </c>
      <c r="E889" t="s">
        <v>49</v>
      </c>
      <c r="F889" t="s">
        <v>53</v>
      </c>
      <c r="G889">
        <v>364</v>
      </c>
      <c r="H889">
        <v>169.25</v>
      </c>
      <c r="I889">
        <v>61607</v>
      </c>
      <c r="J889">
        <v>46699.49</v>
      </c>
      <c r="K889">
        <v>14907.51</v>
      </c>
      <c r="L889" s="2">
        <v>45809</v>
      </c>
    </row>
    <row r="890" spans="1:12" x14ac:dyDescent="0.3">
      <c r="A890" t="s">
        <v>13</v>
      </c>
      <c r="B890" t="s">
        <v>17</v>
      </c>
      <c r="C890" t="s">
        <v>34</v>
      </c>
      <c r="D890" t="s">
        <v>45</v>
      </c>
      <c r="E890" t="s">
        <v>50</v>
      </c>
      <c r="F890" t="s">
        <v>54</v>
      </c>
      <c r="G890">
        <v>190</v>
      </c>
      <c r="H890">
        <v>91.92</v>
      </c>
      <c r="I890">
        <v>17464.8</v>
      </c>
      <c r="J890">
        <v>12335.51</v>
      </c>
      <c r="K890">
        <v>5129.29</v>
      </c>
      <c r="L890" s="2">
        <v>45809</v>
      </c>
    </row>
    <row r="891" spans="1:12" x14ac:dyDescent="0.3">
      <c r="A891" t="s">
        <v>13</v>
      </c>
      <c r="B891" t="s">
        <v>17</v>
      </c>
      <c r="C891" t="s">
        <v>35</v>
      </c>
      <c r="D891" t="s">
        <v>40</v>
      </c>
      <c r="E891" t="s">
        <v>52</v>
      </c>
      <c r="F891" t="s">
        <v>53</v>
      </c>
      <c r="G891">
        <v>182</v>
      </c>
      <c r="H891">
        <v>82.79</v>
      </c>
      <c r="I891">
        <v>15067.78</v>
      </c>
      <c r="J891">
        <v>11165.5</v>
      </c>
      <c r="K891">
        <v>3902.28</v>
      </c>
      <c r="L891" s="2">
        <v>45809</v>
      </c>
    </row>
    <row r="892" spans="1:12" x14ac:dyDescent="0.3">
      <c r="A892" t="s">
        <v>16</v>
      </c>
      <c r="B892" t="s">
        <v>28</v>
      </c>
      <c r="C892" t="s">
        <v>35</v>
      </c>
      <c r="D892" t="s">
        <v>44</v>
      </c>
      <c r="E892" t="s">
        <v>51</v>
      </c>
      <c r="F892" t="s">
        <v>53</v>
      </c>
      <c r="G892">
        <v>120</v>
      </c>
      <c r="H892">
        <v>71.22</v>
      </c>
      <c r="I892">
        <v>8546.4</v>
      </c>
      <c r="J892">
        <v>6972.58</v>
      </c>
      <c r="K892">
        <v>1573.82</v>
      </c>
      <c r="L892" s="2">
        <v>45809</v>
      </c>
    </row>
    <row r="893" spans="1:12" x14ac:dyDescent="0.3">
      <c r="A893" t="s">
        <v>15</v>
      </c>
      <c r="B893" t="s">
        <v>31</v>
      </c>
      <c r="C893" t="s">
        <v>35</v>
      </c>
      <c r="D893" t="s">
        <v>46</v>
      </c>
      <c r="E893" t="s">
        <v>48</v>
      </c>
      <c r="F893" t="s">
        <v>55</v>
      </c>
      <c r="G893">
        <v>314</v>
      </c>
      <c r="H893">
        <v>49.68</v>
      </c>
      <c r="I893">
        <v>15599.52</v>
      </c>
      <c r="J893">
        <v>13065.52</v>
      </c>
      <c r="K893">
        <v>2534</v>
      </c>
      <c r="L893" s="2">
        <v>45809</v>
      </c>
    </row>
    <row r="894" spans="1:12" x14ac:dyDescent="0.3">
      <c r="A894" t="s">
        <v>14</v>
      </c>
      <c r="B894" t="s">
        <v>32</v>
      </c>
      <c r="C894" t="s">
        <v>35</v>
      </c>
      <c r="D894" t="s">
        <v>39</v>
      </c>
      <c r="E894" t="s">
        <v>48</v>
      </c>
      <c r="F894" t="s">
        <v>55</v>
      </c>
      <c r="G894">
        <v>263</v>
      </c>
      <c r="H894">
        <v>184.74</v>
      </c>
      <c r="I894">
        <v>48586.62</v>
      </c>
      <c r="J894">
        <v>33583.050000000003</v>
      </c>
      <c r="K894">
        <v>15003.57</v>
      </c>
      <c r="L894" s="2">
        <v>45809</v>
      </c>
    </row>
    <row r="895" spans="1:12" x14ac:dyDescent="0.3">
      <c r="A895" t="s">
        <v>14</v>
      </c>
      <c r="B895" t="s">
        <v>23</v>
      </c>
      <c r="C895" t="s">
        <v>35</v>
      </c>
      <c r="D895" t="s">
        <v>40</v>
      </c>
      <c r="E895" t="s">
        <v>48</v>
      </c>
      <c r="F895" t="s">
        <v>55</v>
      </c>
      <c r="G895">
        <v>17</v>
      </c>
      <c r="H895">
        <v>70.66</v>
      </c>
      <c r="I895">
        <v>1201.22</v>
      </c>
      <c r="J895">
        <v>735.74</v>
      </c>
      <c r="K895">
        <v>465.48</v>
      </c>
      <c r="L895" s="2">
        <v>45809</v>
      </c>
    </row>
    <row r="896" spans="1:12" x14ac:dyDescent="0.3">
      <c r="A896" t="s">
        <v>15</v>
      </c>
      <c r="B896" t="s">
        <v>31</v>
      </c>
      <c r="C896" t="s">
        <v>35</v>
      </c>
      <c r="D896" t="s">
        <v>39</v>
      </c>
      <c r="E896" t="s">
        <v>49</v>
      </c>
      <c r="F896" t="s">
        <v>55</v>
      </c>
      <c r="G896">
        <v>263</v>
      </c>
      <c r="H896">
        <v>51.11</v>
      </c>
      <c r="I896">
        <v>13441.93</v>
      </c>
      <c r="J896">
        <v>8987.75</v>
      </c>
      <c r="K896">
        <v>4454.18</v>
      </c>
      <c r="L896" s="2">
        <v>45809</v>
      </c>
    </row>
    <row r="897" spans="1:12" x14ac:dyDescent="0.3">
      <c r="A897" t="s">
        <v>13</v>
      </c>
      <c r="B897" t="s">
        <v>27</v>
      </c>
      <c r="C897" t="s">
        <v>34</v>
      </c>
      <c r="D897" t="s">
        <v>37</v>
      </c>
      <c r="E897" t="s">
        <v>49</v>
      </c>
      <c r="F897" t="s">
        <v>55</v>
      </c>
      <c r="G897">
        <v>141</v>
      </c>
      <c r="H897">
        <v>206.16</v>
      </c>
      <c r="I897">
        <v>29068.560000000001</v>
      </c>
      <c r="J897">
        <v>18398.169999999998</v>
      </c>
      <c r="K897">
        <v>10670.39</v>
      </c>
      <c r="L897" s="2">
        <v>45809</v>
      </c>
    </row>
    <row r="898" spans="1:12" x14ac:dyDescent="0.3">
      <c r="A898" t="s">
        <v>16</v>
      </c>
      <c r="B898" t="s">
        <v>28</v>
      </c>
      <c r="C898" t="s">
        <v>34</v>
      </c>
      <c r="D898" t="s">
        <v>37</v>
      </c>
      <c r="E898" t="s">
        <v>52</v>
      </c>
      <c r="F898" t="s">
        <v>53</v>
      </c>
      <c r="G898">
        <v>83</v>
      </c>
      <c r="H898">
        <v>241.94</v>
      </c>
      <c r="I898">
        <v>20081.02</v>
      </c>
      <c r="J898">
        <v>12975.28</v>
      </c>
      <c r="K898">
        <v>7105.74</v>
      </c>
      <c r="L898" s="2">
        <v>45809</v>
      </c>
    </row>
    <row r="899" spans="1:12" x14ac:dyDescent="0.3">
      <c r="A899" t="s">
        <v>14</v>
      </c>
      <c r="B899" t="s">
        <v>23</v>
      </c>
      <c r="C899" t="s">
        <v>34</v>
      </c>
      <c r="D899" t="s">
        <v>36</v>
      </c>
      <c r="E899" t="s">
        <v>52</v>
      </c>
      <c r="F899" t="s">
        <v>54</v>
      </c>
      <c r="G899">
        <v>374</v>
      </c>
      <c r="H899">
        <v>272.77999999999997</v>
      </c>
      <c r="I899">
        <v>102019.72</v>
      </c>
      <c r="J899">
        <v>68274.259999999995</v>
      </c>
      <c r="K899">
        <v>33745.46</v>
      </c>
      <c r="L899" s="2">
        <v>45809</v>
      </c>
    </row>
    <row r="900" spans="1:12" x14ac:dyDescent="0.3">
      <c r="A900" t="s">
        <v>13</v>
      </c>
      <c r="B900" t="s">
        <v>27</v>
      </c>
      <c r="C900" t="s">
        <v>34</v>
      </c>
      <c r="D900" t="s">
        <v>43</v>
      </c>
      <c r="E900" t="s">
        <v>51</v>
      </c>
      <c r="F900" t="s">
        <v>54</v>
      </c>
      <c r="G900">
        <v>95</v>
      </c>
      <c r="H900">
        <v>84.04</v>
      </c>
      <c r="I900">
        <v>7983.8</v>
      </c>
      <c r="J900">
        <v>6110.87</v>
      </c>
      <c r="K900">
        <v>1872.93</v>
      </c>
      <c r="L900" s="2">
        <v>45809</v>
      </c>
    </row>
    <row r="901" spans="1:12" x14ac:dyDescent="0.3">
      <c r="A901" t="s">
        <v>14</v>
      </c>
      <c r="B901" t="s">
        <v>18</v>
      </c>
      <c r="C901" t="s">
        <v>34</v>
      </c>
      <c r="D901" t="s">
        <v>43</v>
      </c>
      <c r="E901" t="s">
        <v>52</v>
      </c>
      <c r="F901" t="s">
        <v>55</v>
      </c>
      <c r="G901">
        <v>156</v>
      </c>
      <c r="H901">
        <v>182.93</v>
      </c>
      <c r="I901">
        <v>28537.08</v>
      </c>
      <c r="J901">
        <v>21043.13</v>
      </c>
      <c r="K901">
        <v>7493.95</v>
      </c>
      <c r="L901" s="2">
        <v>45809</v>
      </c>
    </row>
    <row r="902" spans="1:12" x14ac:dyDescent="0.3">
      <c r="A902" t="s">
        <v>14</v>
      </c>
      <c r="B902" t="s">
        <v>23</v>
      </c>
      <c r="C902" t="s">
        <v>35</v>
      </c>
      <c r="D902" t="s">
        <v>42</v>
      </c>
      <c r="E902" t="s">
        <v>52</v>
      </c>
      <c r="F902" t="s">
        <v>55</v>
      </c>
      <c r="G902">
        <v>151</v>
      </c>
      <c r="H902">
        <v>93.7</v>
      </c>
      <c r="I902">
        <v>14148.7</v>
      </c>
      <c r="J902">
        <v>10545.16</v>
      </c>
      <c r="K902">
        <v>3603.54</v>
      </c>
      <c r="L902" s="2">
        <v>45809</v>
      </c>
    </row>
    <row r="903" spans="1:12" x14ac:dyDescent="0.3">
      <c r="A903" t="s">
        <v>13</v>
      </c>
      <c r="B903" t="s">
        <v>30</v>
      </c>
      <c r="C903" t="s">
        <v>35</v>
      </c>
      <c r="D903" t="s">
        <v>40</v>
      </c>
      <c r="E903" t="s">
        <v>52</v>
      </c>
      <c r="F903" t="s">
        <v>54</v>
      </c>
      <c r="G903">
        <v>279</v>
      </c>
      <c r="H903">
        <v>44.95</v>
      </c>
      <c r="I903">
        <v>12541.05</v>
      </c>
      <c r="J903">
        <v>9816.58</v>
      </c>
      <c r="K903">
        <v>2724.47</v>
      </c>
      <c r="L903" s="2">
        <v>45809</v>
      </c>
    </row>
    <row r="904" spans="1:12" x14ac:dyDescent="0.3">
      <c r="A904" t="s">
        <v>14</v>
      </c>
      <c r="B904" t="s">
        <v>32</v>
      </c>
      <c r="C904" t="s">
        <v>35</v>
      </c>
      <c r="D904" t="s">
        <v>47</v>
      </c>
      <c r="E904" t="s">
        <v>51</v>
      </c>
      <c r="F904" t="s">
        <v>54</v>
      </c>
      <c r="G904">
        <v>197</v>
      </c>
      <c r="H904">
        <v>75.62</v>
      </c>
      <c r="I904">
        <v>14897.14</v>
      </c>
      <c r="J904">
        <v>10369.299999999999</v>
      </c>
      <c r="K904">
        <v>4527.84</v>
      </c>
      <c r="L904" s="2">
        <v>45809</v>
      </c>
    </row>
    <row r="905" spans="1:12" x14ac:dyDescent="0.3">
      <c r="A905" t="s">
        <v>15</v>
      </c>
      <c r="B905" t="s">
        <v>29</v>
      </c>
      <c r="C905" t="s">
        <v>35</v>
      </c>
      <c r="D905" t="s">
        <v>47</v>
      </c>
      <c r="E905" t="s">
        <v>50</v>
      </c>
      <c r="F905" t="s">
        <v>53</v>
      </c>
      <c r="G905">
        <v>31</v>
      </c>
      <c r="H905">
        <v>166.47</v>
      </c>
      <c r="I905">
        <v>5160.57</v>
      </c>
      <c r="J905">
        <v>4035.5</v>
      </c>
      <c r="K905">
        <v>1125.07</v>
      </c>
      <c r="L905" s="2">
        <v>45809</v>
      </c>
    </row>
    <row r="906" spans="1:12" x14ac:dyDescent="0.3">
      <c r="A906" t="s">
        <v>13</v>
      </c>
      <c r="B906" t="s">
        <v>17</v>
      </c>
      <c r="C906" t="s">
        <v>35</v>
      </c>
      <c r="D906" t="s">
        <v>40</v>
      </c>
      <c r="E906" t="s">
        <v>48</v>
      </c>
      <c r="F906" t="s">
        <v>53</v>
      </c>
      <c r="G906">
        <v>452</v>
      </c>
      <c r="H906">
        <v>221.77</v>
      </c>
      <c r="I906">
        <v>100240.04</v>
      </c>
      <c r="J906">
        <v>75150.17</v>
      </c>
      <c r="K906">
        <v>25089.87</v>
      </c>
      <c r="L906" s="2">
        <v>45809</v>
      </c>
    </row>
    <row r="907" spans="1:12" x14ac:dyDescent="0.3">
      <c r="A907" t="s">
        <v>14</v>
      </c>
      <c r="B907" t="s">
        <v>23</v>
      </c>
      <c r="C907" t="s">
        <v>34</v>
      </c>
      <c r="D907" t="s">
        <v>45</v>
      </c>
      <c r="E907" t="s">
        <v>49</v>
      </c>
      <c r="F907" t="s">
        <v>53</v>
      </c>
      <c r="G907">
        <v>136</v>
      </c>
      <c r="H907">
        <v>162.66</v>
      </c>
      <c r="I907">
        <v>22121.759999999998</v>
      </c>
      <c r="J907">
        <v>17319.07</v>
      </c>
      <c r="K907">
        <v>4802.6899999999996</v>
      </c>
      <c r="L907" s="2">
        <v>45809</v>
      </c>
    </row>
    <row r="908" spans="1:12" x14ac:dyDescent="0.3">
      <c r="A908" t="s">
        <v>15</v>
      </c>
      <c r="B908" t="s">
        <v>29</v>
      </c>
      <c r="C908" t="s">
        <v>34</v>
      </c>
      <c r="D908" t="s">
        <v>36</v>
      </c>
      <c r="E908" t="s">
        <v>49</v>
      </c>
      <c r="F908" t="s">
        <v>55</v>
      </c>
      <c r="G908">
        <v>219</v>
      </c>
      <c r="H908">
        <v>114.94</v>
      </c>
      <c r="I908">
        <v>25171.86</v>
      </c>
      <c r="J908">
        <v>18076.5</v>
      </c>
      <c r="K908">
        <v>7095.36</v>
      </c>
      <c r="L908" s="2">
        <v>45809</v>
      </c>
    </row>
    <row r="909" spans="1:12" x14ac:dyDescent="0.3">
      <c r="A909" t="s">
        <v>14</v>
      </c>
      <c r="B909" t="s">
        <v>18</v>
      </c>
      <c r="C909" t="s">
        <v>35</v>
      </c>
      <c r="D909" t="s">
        <v>46</v>
      </c>
      <c r="E909" t="s">
        <v>51</v>
      </c>
      <c r="F909" t="s">
        <v>55</v>
      </c>
      <c r="G909">
        <v>392</v>
      </c>
      <c r="H909">
        <v>229.94</v>
      </c>
      <c r="I909">
        <v>90136.48</v>
      </c>
      <c r="J909">
        <v>71075.039999999994</v>
      </c>
      <c r="K909">
        <v>19061.439999999999</v>
      </c>
      <c r="L909" s="2">
        <v>45809</v>
      </c>
    </row>
    <row r="910" spans="1:12" x14ac:dyDescent="0.3">
      <c r="A910" t="s">
        <v>15</v>
      </c>
      <c r="B910" t="s">
        <v>33</v>
      </c>
      <c r="C910" t="s">
        <v>34</v>
      </c>
      <c r="D910" t="s">
        <v>36</v>
      </c>
      <c r="E910" t="s">
        <v>49</v>
      </c>
      <c r="F910" t="s">
        <v>55</v>
      </c>
      <c r="G910">
        <v>16</v>
      </c>
      <c r="H910">
        <v>100.73</v>
      </c>
      <c r="I910">
        <v>1611.68</v>
      </c>
      <c r="J910">
        <v>1343.86</v>
      </c>
      <c r="K910">
        <v>267.82</v>
      </c>
      <c r="L910" s="2">
        <v>45809</v>
      </c>
    </row>
    <row r="911" spans="1:12" x14ac:dyDescent="0.3">
      <c r="A911" t="s">
        <v>13</v>
      </c>
      <c r="B911" t="s">
        <v>30</v>
      </c>
      <c r="C911" t="s">
        <v>34</v>
      </c>
      <c r="D911" t="s">
        <v>43</v>
      </c>
      <c r="E911" t="s">
        <v>51</v>
      </c>
      <c r="F911" t="s">
        <v>53</v>
      </c>
      <c r="G911">
        <v>76</v>
      </c>
      <c r="H911">
        <v>211.3</v>
      </c>
      <c r="I911">
        <v>16058.8</v>
      </c>
      <c r="J911">
        <v>11693.44</v>
      </c>
      <c r="K911">
        <v>4365.3599999999997</v>
      </c>
      <c r="L911" s="2">
        <v>45809</v>
      </c>
    </row>
    <row r="912" spans="1:12" x14ac:dyDescent="0.3">
      <c r="A912" t="s">
        <v>16</v>
      </c>
      <c r="B912" t="s">
        <v>22</v>
      </c>
      <c r="C912" t="s">
        <v>34</v>
      </c>
      <c r="D912" t="s">
        <v>36</v>
      </c>
      <c r="E912" t="s">
        <v>48</v>
      </c>
      <c r="F912" t="s">
        <v>55</v>
      </c>
      <c r="G912">
        <v>282</v>
      </c>
      <c r="H912">
        <v>206.07</v>
      </c>
      <c r="I912">
        <v>58111.74</v>
      </c>
      <c r="J912">
        <v>48581.16</v>
      </c>
      <c r="K912">
        <v>9530.58</v>
      </c>
      <c r="L912" s="2">
        <v>45839</v>
      </c>
    </row>
    <row r="913" spans="1:12" x14ac:dyDescent="0.3">
      <c r="A913" t="s">
        <v>16</v>
      </c>
      <c r="B913" t="s">
        <v>25</v>
      </c>
      <c r="C913" t="s">
        <v>35</v>
      </c>
      <c r="D913" t="s">
        <v>47</v>
      </c>
      <c r="E913" t="s">
        <v>52</v>
      </c>
      <c r="F913" t="s">
        <v>54</v>
      </c>
      <c r="G913">
        <v>359</v>
      </c>
      <c r="H913">
        <v>62.53</v>
      </c>
      <c r="I913">
        <v>22448.27</v>
      </c>
      <c r="J913">
        <v>17291.439999999999</v>
      </c>
      <c r="K913">
        <v>5156.83</v>
      </c>
      <c r="L913" s="2">
        <v>45839</v>
      </c>
    </row>
    <row r="914" spans="1:12" x14ac:dyDescent="0.3">
      <c r="A914" t="s">
        <v>15</v>
      </c>
      <c r="B914" t="s">
        <v>29</v>
      </c>
      <c r="C914" t="s">
        <v>35</v>
      </c>
      <c r="D914" t="s">
        <v>42</v>
      </c>
      <c r="E914" t="s">
        <v>50</v>
      </c>
      <c r="F914" t="s">
        <v>53</v>
      </c>
      <c r="G914">
        <v>31</v>
      </c>
      <c r="H914">
        <v>209.44</v>
      </c>
      <c r="I914">
        <v>6492.64</v>
      </c>
      <c r="J914">
        <v>5068.6499999999996</v>
      </c>
      <c r="K914">
        <v>1423.99</v>
      </c>
      <c r="L914" s="2">
        <v>45839</v>
      </c>
    </row>
    <row r="915" spans="1:12" x14ac:dyDescent="0.3">
      <c r="A915" t="s">
        <v>14</v>
      </c>
      <c r="B915" t="s">
        <v>19</v>
      </c>
      <c r="C915" t="s">
        <v>35</v>
      </c>
      <c r="D915" t="s">
        <v>42</v>
      </c>
      <c r="E915" t="s">
        <v>52</v>
      </c>
      <c r="F915" t="s">
        <v>55</v>
      </c>
      <c r="G915">
        <v>485</v>
      </c>
      <c r="H915">
        <v>69.790000000000006</v>
      </c>
      <c r="I915">
        <v>33848.15</v>
      </c>
      <c r="J915">
        <v>25707.34</v>
      </c>
      <c r="K915">
        <v>8140.81</v>
      </c>
      <c r="L915" s="2">
        <v>45839</v>
      </c>
    </row>
    <row r="916" spans="1:12" x14ac:dyDescent="0.3">
      <c r="A916" t="s">
        <v>15</v>
      </c>
      <c r="B916" t="s">
        <v>21</v>
      </c>
      <c r="C916" t="s">
        <v>34</v>
      </c>
      <c r="D916" t="s">
        <v>36</v>
      </c>
      <c r="E916" t="s">
        <v>49</v>
      </c>
      <c r="F916" t="s">
        <v>54</v>
      </c>
      <c r="G916">
        <v>315</v>
      </c>
      <c r="H916">
        <v>100.83</v>
      </c>
      <c r="I916">
        <v>31761.45</v>
      </c>
      <c r="J916">
        <v>20224.59</v>
      </c>
      <c r="K916">
        <v>11536.86</v>
      </c>
      <c r="L916" s="2">
        <v>45839</v>
      </c>
    </row>
    <row r="917" spans="1:12" x14ac:dyDescent="0.3">
      <c r="A917" t="s">
        <v>16</v>
      </c>
      <c r="B917" t="s">
        <v>25</v>
      </c>
      <c r="C917" t="s">
        <v>34</v>
      </c>
      <c r="D917" t="s">
        <v>43</v>
      </c>
      <c r="E917" t="s">
        <v>51</v>
      </c>
      <c r="F917" t="s">
        <v>55</v>
      </c>
      <c r="G917">
        <v>111</v>
      </c>
      <c r="H917">
        <v>31.23</v>
      </c>
      <c r="I917">
        <v>3466.53</v>
      </c>
      <c r="J917">
        <v>2602.89</v>
      </c>
      <c r="K917">
        <v>863.64</v>
      </c>
      <c r="L917" s="2">
        <v>45839</v>
      </c>
    </row>
    <row r="918" spans="1:12" x14ac:dyDescent="0.3">
      <c r="A918" t="s">
        <v>13</v>
      </c>
      <c r="B918" t="s">
        <v>30</v>
      </c>
      <c r="C918" t="s">
        <v>35</v>
      </c>
      <c r="D918" t="s">
        <v>47</v>
      </c>
      <c r="E918" t="s">
        <v>52</v>
      </c>
      <c r="F918" t="s">
        <v>54</v>
      </c>
      <c r="G918">
        <v>150</v>
      </c>
      <c r="H918">
        <v>237.61</v>
      </c>
      <c r="I918">
        <v>35641.5</v>
      </c>
      <c r="J918">
        <v>27920.54</v>
      </c>
      <c r="K918">
        <v>7720.96</v>
      </c>
      <c r="L918" s="2">
        <v>45839</v>
      </c>
    </row>
    <row r="919" spans="1:12" x14ac:dyDescent="0.3">
      <c r="A919" t="s">
        <v>14</v>
      </c>
      <c r="B919" t="s">
        <v>23</v>
      </c>
      <c r="C919" t="s">
        <v>35</v>
      </c>
      <c r="D919" t="s">
        <v>40</v>
      </c>
      <c r="E919" t="s">
        <v>52</v>
      </c>
      <c r="F919" t="s">
        <v>54</v>
      </c>
      <c r="G919">
        <v>48</v>
      </c>
      <c r="H919">
        <v>255.49</v>
      </c>
      <c r="I919">
        <v>12263.52</v>
      </c>
      <c r="J919">
        <v>10175.43</v>
      </c>
      <c r="K919">
        <v>2088.09</v>
      </c>
      <c r="L919" s="2">
        <v>45839</v>
      </c>
    </row>
    <row r="920" spans="1:12" x14ac:dyDescent="0.3">
      <c r="A920" t="s">
        <v>13</v>
      </c>
      <c r="B920" t="s">
        <v>30</v>
      </c>
      <c r="C920" t="s">
        <v>34</v>
      </c>
      <c r="D920" t="s">
        <v>45</v>
      </c>
      <c r="E920" t="s">
        <v>48</v>
      </c>
      <c r="F920" t="s">
        <v>55</v>
      </c>
      <c r="G920">
        <v>330</v>
      </c>
      <c r="H920">
        <v>34.47</v>
      </c>
      <c r="I920">
        <v>11375.1</v>
      </c>
      <c r="J920">
        <v>7960.77</v>
      </c>
      <c r="K920">
        <v>3414.33</v>
      </c>
      <c r="L920" s="2">
        <v>45839</v>
      </c>
    </row>
    <row r="921" spans="1:12" x14ac:dyDescent="0.3">
      <c r="A921" t="s">
        <v>15</v>
      </c>
      <c r="B921" t="s">
        <v>20</v>
      </c>
      <c r="C921" t="s">
        <v>35</v>
      </c>
      <c r="D921" t="s">
        <v>42</v>
      </c>
      <c r="E921" t="s">
        <v>48</v>
      </c>
      <c r="F921" t="s">
        <v>53</v>
      </c>
      <c r="G921">
        <v>211</v>
      </c>
      <c r="H921">
        <v>242.83</v>
      </c>
      <c r="I921">
        <v>51237.13</v>
      </c>
      <c r="J921">
        <v>30801.61</v>
      </c>
      <c r="K921">
        <v>20435.52</v>
      </c>
      <c r="L921" s="2">
        <v>45839</v>
      </c>
    </row>
    <row r="922" spans="1:12" x14ac:dyDescent="0.3">
      <c r="A922" t="s">
        <v>14</v>
      </c>
      <c r="B922" t="s">
        <v>32</v>
      </c>
      <c r="C922" t="s">
        <v>35</v>
      </c>
      <c r="D922" t="s">
        <v>42</v>
      </c>
      <c r="E922" t="s">
        <v>49</v>
      </c>
      <c r="F922" t="s">
        <v>55</v>
      </c>
      <c r="G922">
        <v>378</v>
      </c>
      <c r="H922">
        <v>17.309999999999999</v>
      </c>
      <c r="I922">
        <v>6543.18</v>
      </c>
      <c r="J922">
        <v>5298.34</v>
      </c>
      <c r="K922">
        <v>1244.8399999999999</v>
      </c>
      <c r="L922" s="2">
        <v>45839</v>
      </c>
    </row>
    <row r="923" spans="1:12" x14ac:dyDescent="0.3">
      <c r="A923" t="s">
        <v>14</v>
      </c>
      <c r="B923" t="s">
        <v>19</v>
      </c>
      <c r="C923" t="s">
        <v>34</v>
      </c>
      <c r="D923" t="s">
        <v>45</v>
      </c>
      <c r="E923" t="s">
        <v>50</v>
      </c>
      <c r="F923" t="s">
        <v>53</v>
      </c>
      <c r="G923">
        <v>31</v>
      </c>
      <c r="H923">
        <v>205.08</v>
      </c>
      <c r="I923">
        <v>6357.48</v>
      </c>
      <c r="J923">
        <v>5080.71</v>
      </c>
      <c r="K923">
        <v>1276.77</v>
      </c>
      <c r="L923" s="2">
        <v>45839</v>
      </c>
    </row>
    <row r="924" spans="1:12" x14ac:dyDescent="0.3">
      <c r="A924" t="s">
        <v>16</v>
      </c>
      <c r="B924" t="s">
        <v>22</v>
      </c>
      <c r="C924" t="s">
        <v>34</v>
      </c>
      <c r="D924" t="s">
        <v>43</v>
      </c>
      <c r="E924" t="s">
        <v>50</v>
      </c>
      <c r="F924" t="s">
        <v>53</v>
      </c>
      <c r="G924">
        <v>480</v>
      </c>
      <c r="H924">
        <v>49.76</v>
      </c>
      <c r="I924">
        <v>23884.799999999999</v>
      </c>
      <c r="J924">
        <v>17527.32</v>
      </c>
      <c r="K924">
        <v>6357.48</v>
      </c>
      <c r="L924" s="2">
        <v>45839</v>
      </c>
    </row>
    <row r="925" spans="1:12" x14ac:dyDescent="0.3">
      <c r="A925" t="s">
        <v>14</v>
      </c>
      <c r="B925" t="s">
        <v>32</v>
      </c>
      <c r="C925" t="s">
        <v>35</v>
      </c>
      <c r="D925" t="s">
        <v>42</v>
      </c>
      <c r="E925" t="s">
        <v>52</v>
      </c>
      <c r="F925" t="s">
        <v>54</v>
      </c>
      <c r="G925">
        <v>150</v>
      </c>
      <c r="H925">
        <v>165.73</v>
      </c>
      <c r="I925">
        <v>24859.5</v>
      </c>
      <c r="J925">
        <v>20224.05</v>
      </c>
      <c r="K925">
        <v>4635.45</v>
      </c>
      <c r="L925" s="2">
        <v>45839</v>
      </c>
    </row>
    <row r="926" spans="1:12" x14ac:dyDescent="0.3">
      <c r="A926" t="s">
        <v>15</v>
      </c>
      <c r="B926" t="s">
        <v>33</v>
      </c>
      <c r="C926" t="s">
        <v>34</v>
      </c>
      <c r="D926" t="s">
        <v>37</v>
      </c>
      <c r="E926" t="s">
        <v>50</v>
      </c>
      <c r="F926" t="s">
        <v>53</v>
      </c>
      <c r="G926">
        <v>93</v>
      </c>
      <c r="H926">
        <v>173.87</v>
      </c>
      <c r="I926">
        <v>16169.91</v>
      </c>
      <c r="J926">
        <v>12821.23</v>
      </c>
      <c r="K926">
        <v>3348.68</v>
      </c>
      <c r="L926" s="2">
        <v>45839</v>
      </c>
    </row>
    <row r="927" spans="1:12" x14ac:dyDescent="0.3">
      <c r="A927" t="s">
        <v>15</v>
      </c>
      <c r="B927" t="s">
        <v>31</v>
      </c>
      <c r="C927" t="s">
        <v>34</v>
      </c>
      <c r="D927" t="s">
        <v>45</v>
      </c>
      <c r="E927" t="s">
        <v>48</v>
      </c>
      <c r="F927" t="s">
        <v>55</v>
      </c>
      <c r="G927">
        <v>202</v>
      </c>
      <c r="H927">
        <v>99.56</v>
      </c>
      <c r="I927">
        <v>20111.12</v>
      </c>
      <c r="J927">
        <v>14491.39</v>
      </c>
      <c r="K927">
        <v>5619.73</v>
      </c>
      <c r="L927" s="2">
        <v>45839</v>
      </c>
    </row>
    <row r="928" spans="1:12" x14ac:dyDescent="0.3">
      <c r="A928" t="s">
        <v>15</v>
      </c>
      <c r="B928" t="s">
        <v>33</v>
      </c>
      <c r="C928" t="s">
        <v>34</v>
      </c>
      <c r="D928" t="s">
        <v>38</v>
      </c>
      <c r="E928" t="s">
        <v>52</v>
      </c>
      <c r="F928" t="s">
        <v>53</v>
      </c>
      <c r="G928">
        <v>388</v>
      </c>
      <c r="H928">
        <v>100.52</v>
      </c>
      <c r="I928">
        <v>39001.760000000002</v>
      </c>
      <c r="J928">
        <v>27291.93</v>
      </c>
      <c r="K928">
        <v>11709.83</v>
      </c>
      <c r="L928" s="2">
        <v>45839</v>
      </c>
    </row>
    <row r="929" spans="1:12" x14ac:dyDescent="0.3">
      <c r="A929" t="s">
        <v>13</v>
      </c>
      <c r="B929" t="s">
        <v>30</v>
      </c>
      <c r="C929" t="s">
        <v>34</v>
      </c>
      <c r="D929" t="s">
        <v>38</v>
      </c>
      <c r="E929" t="s">
        <v>50</v>
      </c>
      <c r="F929" t="s">
        <v>54</v>
      </c>
      <c r="G929">
        <v>391</v>
      </c>
      <c r="H929">
        <v>85.61</v>
      </c>
      <c r="I929">
        <v>33473.51</v>
      </c>
      <c r="J929">
        <v>20663.650000000001</v>
      </c>
      <c r="K929">
        <v>12809.86</v>
      </c>
      <c r="L929" s="2">
        <v>45839</v>
      </c>
    </row>
    <row r="930" spans="1:12" x14ac:dyDescent="0.3">
      <c r="A930" t="s">
        <v>16</v>
      </c>
      <c r="B930" t="s">
        <v>28</v>
      </c>
      <c r="C930" t="s">
        <v>34</v>
      </c>
      <c r="D930" t="s">
        <v>37</v>
      </c>
      <c r="E930" t="s">
        <v>48</v>
      </c>
      <c r="F930" t="s">
        <v>53</v>
      </c>
      <c r="G930">
        <v>302</v>
      </c>
      <c r="H930">
        <v>128.72999999999999</v>
      </c>
      <c r="I930">
        <v>38876.46</v>
      </c>
      <c r="J930">
        <v>28691.29</v>
      </c>
      <c r="K930">
        <v>10185.17</v>
      </c>
      <c r="L930" s="2">
        <v>45839</v>
      </c>
    </row>
    <row r="931" spans="1:12" x14ac:dyDescent="0.3">
      <c r="A931" t="s">
        <v>15</v>
      </c>
      <c r="B931" t="s">
        <v>33</v>
      </c>
      <c r="C931" t="s">
        <v>34</v>
      </c>
      <c r="D931" t="s">
        <v>38</v>
      </c>
      <c r="E931" t="s">
        <v>48</v>
      </c>
      <c r="F931" t="s">
        <v>55</v>
      </c>
      <c r="G931">
        <v>126</v>
      </c>
      <c r="H931">
        <v>124.7</v>
      </c>
      <c r="I931">
        <v>15712.2</v>
      </c>
      <c r="J931">
        <v>11808.46</v>
      </c>
      <c r="K931">
        <v>3903.74</v>
      </c>
      <c r="L931" s="2">
        <v>45839</v>
      </c>
    </row>
    <row r="932" spans="1:12" x14ac:dyDescent="0.3">
      <c r="A932" t="s">
        <v>16</v>
      </c>
      <c r="B932" t="s">
        <v>22</v>
      </c>
      <c r="C932" t="s">
        <v>35</v>
      </c>
      <c r="D932" t="s">
        <v>42</v>
      </c>
      <c r="E932" t="s">
        <v>48</v>
      </c>
      <c r="F932" t="s">
        <v>53</v>
      </c>
      <c r="G932">
        <v>325</v>
      </c>
      <c r="H932">
        <v>57.46</v>
      </c>
      <c r="I932">
        <v>18674.5</v>
      </c>
      <c r="J932">
        <v>11971.6</v>
      </c>
      <c r="K932">
        <v>6702.9</v>
      </c>
      <c r="L932" s="2">
        <v>45839</v>
      </c>
    </row>
    <row r="933" spans="1:12" x14ac:dyDescent="0.3">
      <c r="A933" t="s">
        <v>15</v>
      </c>
      <c r="B933" t="s">
        <v>33</v>
      </c>
      <c r="C933" t="s">
        <v>34</v>
      </c>
      <c r="D933" t="s">
        <v>37</v>
      </c>
      <c r="E933" t="s">
        <v>49</v>
      </c>
      <c r="F933" t="s">
        <v>53</v>
      </c>
      <c r="G933">
        <v>95</v>
      </c>
      <c r="H933">
        <v>184.89</v>
      </c>
      <c r="I933">
        <v>17564.55</v>
      </c>
      <c r="J933">
        <v>14207.12</v>
      </c>
      <c r="K933">
        <v>3357.43</v>
      </c>
      <c r="L933" s="2">
        <v>45839</v>
      </c>
    </row>
    <row r="934" spans="1:12" x14ac:dyDescent="0.3">
      <c r="A934" t="s">
        <v>15</v>
      </c>
      <c r="B934" t="s">
        <v>33</v>
      </c>
      <c r="C934" t="s">
        <v>34</v>
      </c>
      <c r="D934" t="s">
        <v>43</v>
      </c>
      <c r="E934" t="s">
        <v>48</v>
      </c>
      <c r="F934" t="s">
        <v>55</v>
      </c>
      <c r="G934">
        <v>273</v>
      </c>
      <c r="H934">
        <v>88.71</v>
      </c>
      <c r="I934">
        <v>24217.83</v>
      </c>
      <c r="J934">
        <v>17537.919999999998</v>
      </c>
      <c r="K934">
        <v>6679.91</v>
      </c>
      <c r="L934" s="2">
        <v>45839</v>
      </c>
    </row>
    <row r="935" spans="1:12" x14ac:dyDescent="0.3">
      <c r="A935" t="s">
        <v>13</v>
      </c>
      <c r="B935" t="s">
        <v>30</v>
      </c>
      <c r="C935" t="s">
        <v>35</v>
      </c>
      <c r="D935" t="s">
        <v>42</v>
      </c>
      <c r="E935" t="s">
        <v>51</v>
      </c>
      <c r="F935" t="s">
        <v>53</v>
      </c>
      <c r="G935">
        <v>59</v>
      </c>
      <c r="H935">
        <v>257.60000000000002</v>
      </c>
      <c r="I935">
        <v>15198.4</v>
      </c>
      <c r="J935">
        <v>10038.459999999999</v>
      </c>
      <c r="K935">
        <v>5159.9399999999996</v>
      </c>
      <c r="L935" s="2">
        <v>45839</v>
      </c>
    </row>
    <row r="936" spans="1:12" x14ac:dyDescent="0.3">
      <c r="A936" t="s">
        <v>15</v>
      </c>
      <c r="B936" t="s">
        <v>31</v>
      </c>
      <c r="C936" t="s">
        <v>34</v>
      </c>
      <c r="D936" t="s">
        <v>45</v>
      </c>
      <c r="E936" t="s">
        <v>52</v>
      </c>
      <c r="F936" t="s">
        <v>55</v>
      </c>
      <c r="G936">
        <v>172</v>
      </c>
      <c r="H936">
        <v>200.45</v>
      </c>
      <c r="I936">
        <v>34477.4</v>
      </c>
      <c r="J936">
        <v>23489.37</v>
      </c>
      <c r="K936">
        <v>10988.03</v>
      </c>
      <c r="L936" s="2">
        <v>45839</v>
      </c>
    </row>
    <row r="937" spans="1:12" x14ac:dyDescent="0.3">
      <c r="A937" t="s">
        <v>16</v>
      </c>
      <c r="B937" t="s">
        <v>24</v>
      </c>
      <c r="C937" t="s">
        <v>34</v>
      </c>
      <c r="D937" t="s">
        <v>37</v>
      </c>
      <c r="E937" t="s">
        <v>48</v>
      </c>
      <c r="F937" t="s">
        <v>54</v>
      </c>
      <c r="G937">
        <v>338</v>
      </c>
      <c r="H937">
        <v>151.4</v>
      </c>
      <c r="I937">
        <v>51173.2</v>
      </c>
      <c r="J937">
        <v>31133.95</v>
      </c>
      <c r="K937">
        <v>20039.25</v>
      </c>
      <c r="L937" s="2">
        <v>45839</v>
      </c>
    </row>
    <row r="938" spans="1:12" x14ac:dyDescent="0.3">
      <c r="A938" t="s">
        <v>16</v>
      </c>
      <c r="B938" t="s">
        <v>22</v>
      </c>
      <c r="C938" t="s">
        <v>34</v>
      </c>
      <c r="D938" t="s">
        <v>38</v>
      </c>
      <c r="E938" t="s">
        <v>49</v>
      </c>
      <c r="F938" t="s">
        <v>55</v>
      </c>
      <c r="G938">
        <v>382</v>
      </c>
      <c r="H938">
        <v>221.95</v>
      </c>
      <c r="I938">
        <v>84784.9</v>
      </c>
      <c r="J938">
        <v>70760.22</v>
      </c>
      <c r="K938">
        <v>14024.68</v>
      </c>
      <c r="L938" s="2">
        <v>45839</v>
      </c>
    </row>
    <row r="939" spans="1:12" x14ac:dyDescent="0.3">
      <c r="A939" t="s">
        <v>15</v>
      </c>
      <c r="B939" t="s">
        <v>21</v>
      </c>
      <c r="C939" t="s">
        <v>34</v>
      </c>
      <c r="D939" t="s">
        <v>36</v>
      </c>
      <c r="E939" t="s">
        <v>48</v>
      </c>
      <c r="F939" t="s">
        <v>53</v>
      </c>
      <c r="G939">
        <v>342</v>
      </c>
      <c r="H939">
        <v>21.03</v>
      </c>
      <c r="I939">
        <v>7192.26</v>
      </c>
      <c r="J939">
        <v>5657.09</v>
      </c>
      <c r="K939">
        <v>1535.17</v>
      </c>
      <c r="L939" s="2">
        <v>45839</v>
      </c>
    </row>
    <row r="940" spans="1:12" x14ac:dyDescent="0.3">
      <c r="A940" t="s">
        <v>16</v>
      </c>
      <c r="B940" t="s">
        <v>22</v>
      </c>
      <c r="C940" t="s">
        <v>35</v>
      </c>
      <c r="D940" t="s">
        <v>47</v>
      </c>
      <c r="E940" t="s">
        <v>48</v>
      </c>
      <c r="F940" t="s">
        <v>55</v>
      </c>
      <c r="G940">
        <v>199</v>
      </c>
      <c r="H940">
        <v>160.49</v>
      </c>
      <c r="I940">
        <v>31937.51</v>
      </c>
      <c r="J940">
        <v>19537.5</v>
      </c>
      <c r="K940">
        <v>12400.01</v>
      </c>
      <c r="L940" s="2">
        <v>45839</v>
      </c>
    </row>
    <row r="941" spans="1:12" x14ac:dyDescent="0.3">
      <c r="A941" t="s">
        <v>13</v>
      </c>
      <c r="B941" t="s">
        <v>26</v>
      </c>
      <c r="C941" t="s">
        <v>34</v>
      </c>
      <c r="D941" t="s">
        <v>38</v>
      </c>
      <c r="E941" t="s">
        <v>50</v>
      </c>
      <c r="F941" t="s">
        <v>53</v>
      </c>
      <c r="G941">
        <v>216</v>
      </c>
      <c r="H941">
        <v>171.86</v>
      </c>
      <c r="I941">
        <v>37121.760000000002</v>
      </c>
      <c r="J941">
        <v>27283.62</v>
      </c>
      <c r="K941">
        <v>9838.14</v>
      </c>
      <c r="L941" s="2">
        <v>45870</v>
      </c>
    </row>
    <row r="942" spans="1:12" x14ac:dyDescent="0.3">
      <c r="A942" t="s">
        <v>15</v>
      </c>
      <c r="B942" t="s">
        <v>20</v>
      </c>
      <c r="C942" t="s">
        <v>34</v>
      </c>
      <c r="D942" t="s">
        <v>43</v>
      </c>
      <c r="E942" t="s">
        <v>48</v>
      </c>
      <c r="F942" t="s">
        <v>55</v>
      </c>
      <c r="G942">
        <v>449</v>
      </c>
      <c r="H942">
        <v>197.84</v>
      </c>
      <c r="I942">
        <v>88830.16</v>
      </c>
      <c r="J942">
        <v>70980.639999999999</v>
      </c>
      <c r="K942">
        <v>17849.52</v>
      </c>
      <c r="L942" s="2">
        <v>45870</v>
      </c>
    </row>
    <row r="943" spans="1:12" x14ac:dyDescent="0.3">
      <c r="A943" t="s">
        <v>16</v>
      </c>
      <c r="B943" t="s">
        <v>25</v>
      </c>
      <c r="C943" t="s">
        <v>34</v>
      </c>
      <c r="D943" t="s">
        <v>38</v>
      </c>
      <c r="E943" t="s">
        <v>51</v>
      </c>
      <c r="F943" t="s">
        <v>53</v>
      </c>
      <c r="G943">
        <v>331</v>
      </c>
      <c r="H943">
        <v>31.14</v>
      </c>
      <c r="I943">
        <v>10307.34</v>
      </c>
      <c r="J943">
        <v>7222.54</v>
      </c>
      <c r="K943">
        <v>3084.8</v>
      </c>
      <c r="L943" s="2">
        <v>45870</v>
      </c>
    </row>
    <row r="944" spans="1:12" x14ac:dyDescent="0.3">
      <c r="A944" t="s">
        <v>13</v>
      </c>
      <c r="B944" t="s">
        <v>17</v>
      </c>
      <c r="C944" t="s">
        <v>35</v>
      </c>
      <c r="D944" t="s">
        <v>46</v>
      </c>
      <c r="E944" t="s">
        <v>52</v>
      </c>
      <c r="F944" t="s">
        <v>55</v>
      </c>
      <c r="G944">
        <v>432</v>
      </c>
      <c r="H944">
        <v>215.27</v>
      </c>
      <c r="I944">
        <v>92996.64</v>
      </c>
      <c r="J944">
        <v>68434.789999999994</v>
      </c>
      <c r="K944">
        <v>24561.85</v>
      </c>
      <c r="L944" s="2">
        <v>45870</v>
      </c>
    </row>
    <row r="945" spans="1:12" x14ac:dyDescent="0.3">
      <c r="A945" t="s">
        <v>15</v>
      </c>
      <c r="B945" t="s">
        <v>31</v>
      </c>
      <c r="C945" t="s">
        <v>34</v>
      </c>
      <c r="D945" t="s">
        <v>38</v>
      </c>
      <c r="E945" t="s">
        <v>49</v>
      </c>
      <c r="F945" t="s">
        <v>54</v>
      </c>
      <c r="G945">
        <v>245</v>
      </c>
      <c r="H945">
        <v>19.079999999999998</v>
      </c>
      <c r="I945">
        <v>4674.6000000000004</v>
      </c>
      <c r="J945">
        <v>3659.36</v>
      </c>
      <c r="K945">
        <v>1015.24</v>
      </c>
      <c r="L945" s="2">
        <v>45870</v>
      </c>
    </row>
    <row r="946" spans="1:12" x14ac:dyDescent="0.3">
      <c r="A946" t="s">
        <v>15</v>
      </c>
      <c r="B946" t="s">
        <v>31</v>
      </c>
      <c r="C946" t="s">
        <v>34</v>
      </c>
      <c r="D946" t="s">
        <v>45</v>
      </c>
      <c r="E946" t="s">
        <v>52</v>
      </c>
      <c r="F946" t="s">
        <v>54</v>
      </c>
      <c r="G946">
        <v>441</v>
      </c>
      <c r="H946">
        <v>15.18</v>
      </c>
      <c r="I946">
        <v>6694.38</v>
      </c>
      <c r="J946">
        <v>5669.68</v>
      </c>
      <c r="K946">
        <v>1024.7</v>
      </c>
      <c r="L946" s="2">
        <v>45870</v>
      </c>
    </row>
    <row r="947" spans="1:12" x14ac:dyDescent="0.3">
      <c r="A947" t="s">
        <v>15</v>
      </c>
      <c r="B947" t="s">
        <v>31</v>
      </c>
      <c r="C947" t="s">
        <v>34</v>
      </c>
      <c r="D947" t="s">
        <v>43</v>
      </c>
      <c r="E947" t="s">
        <v>51</v>
      </c>
      <c r="F947" t="s">
        <v>54</v>
      </c>
      <c r="G947">
        <v>177</v>
      </c>
      <c r="H947">
        <v>75.58</v>
      </c>
      <c r="I947">
        <v>13377.66</v>
      </c>
      <c r="J947">
        <v>9043.9599999999991</v>
      </c>
      <c r="K947">
        <v>4333.7</v>
      </c>
      <c r="L947" s="2">
        <v>45870</v>
      </c>
    </row>
    <row r="948" spans="1:12" x14ac:dyDescent="0.3">
      <c r="A948" t="s">
        <v>16</v>
      </c>
      <c r="B948" t="s">
        <v>22</v>
      </c>
      <c r="C948" t="s">
        <v>34</v>
      </c>
      <c r="D948" t="s">
        <v>38</v>
      </c>
      <c r="E948" t="s">
        <v>52</v>
      </c>
      <c r="F948" t="s">
        <v>53</v>
      </c>
      <c r="G948">
        <v>184</v>
      </c>
      <c r="H948">
        <v>202.5</v>
      </c>
      <c r="I948">
        <v>37260</v>
      </c>
      <c r="J948">
        <v>26777.19</v>
      </c>
      <c r="K948">
        <v>10482.81</v>
      </c>
      <c r="L948" s="2">
        <v>45870</v>
      </c>
    </row>
    <row r="949" spans="1:12" x14ac:dyDescent="0.3">
      <c r="A949" t="s">
        <v>13</v>
      </c>
      <c r="B949" t="s">
        <v>17</v>
      </c>
      <c r="C949" t="s">
        <v>34</v>
      </c>
      <c r="D949" t="s">
        <v>36</v>
      </c>
      <c r="E949" t="s">
        <v>48</v>
      </c>
      <c r="F949" t="s">
        <v>53</v>
      </c>
      <c r="G949">
        <v>32</v>
      </c>
      <c r="H949">
        <v>83.73</v>
      </c>
      <c r="I949">
        <v>2679.36</v>
      </c>
      <c r="J949">
        <v>2194.0700000000002</v>
      </c>
      <c r="K949">
        <v>485.29</v>
      </c>
      <c r="L949" s="2">
        <v>45870</v>
      </c>
    </row>
    <row r="950" spans="1:12" x14ac:dyDescent="0.3">
      <c r="A950" t="s">
        <v>13</v>
      </c>
      <c r="B950" t="s">
        <v>30</v>
      </c>
      <c r="C950" t="s">
        <v>34</v>
      </c>
      <c r="D950" t="s">
        <v>36</v>
      </c>
      <c r="E950" t="s">
        <v>52</v>
      </c>
      <c r="F950" t="s">
        <v>54</v>
      </c>
      <c r="G950">
        <v>325</v>
      </c>
      <c r="H950">
        <v>29.61</v>
      </c>
      <c r="I950">
        <v>9623.25</v>
      </c>
      <c r="J950">
        <v>7699.46</v>
      </c>
      <c r="K950">
        <v>1923.79</v>
      </c>
      <c r="L950" s="2">
        <v>45870</v>
      </c>
    </row>
    <row r="951" spans="1:12" x14ac:dyDescent="0.3">
      <c r="A951" t="s">
        <v>14</v>
      </c>
      <c r="B951" t="s">
        <v>18</v>
      </c>
      <c r="C951" t="s">
        <v>34</v>
      </c>
      <c r="D951" t="s">
        <v>38</v>
      </c>
      <c r="E951" t="s">
        <v>51</v>
      </c>
      <c r="F951" t="s">
        <v>55</v>
      </c>
      <c r="G951">
        <v>444</v>
      </c>
      <c r="H951">
        <v>177.82</v>
      </c>
      <c r="I951">
        <v>78952.08</v>
      </c>
      <c r="J951">
        <v>56028.65</v>
      </c>
      <c r="K951">
        <v>22923.43</v>
      </c>
      <c r="L951" s="2">
        <v>45870</v>
      </c>
    </row>
    <row r="952" spans="1:12" x14ac:dyDescent="0.3">
      <c r="A952" t="s">
        <v>16</v>
      </c>
      <c r="B952" t="s">
        <v>25</v>
      </c>
      <c r="C952" t="s">
        <v>34</v>
      </c>
      <c r="D952" t="s">
        <v>45</v>
      </c>
      <c r="E952" t="s">
        <v>48</v>
      </c>
      <c r="F952" t="s">
        <v>55</v>
      </c>
      <c r="G952">
        <v>395</v>
      </c>
      <c r="H952">
        <v>103.48</v>
      </c>
      <c r="I952">
        <v>40874.6</v>
      </c>
      <c r="J952">
        <v>32800.58</v>
      </c>
      <c r="K952">
        <v>8074.02</v>
      </c>
      <c r="L952" s="2">
        <v>45870</v>
      </c>
    </row>
    <row r="953" spans="1:12" x14ac:dyDescent="0.3">
      <c r="A953" t="s">
        <v>14</v>
      </c>
      <c r="B953" t="s">
        <v>18</v>
      </c>
      <c r="C953" t="s">
        <v>34</v>
      </c>
      <c r="D953" t="s">
        <v>43</v>
      </c>
      <c r="E953" t="s">
        <v>49</v>
      </c>
      <c r="F953" t="s">
        <v>54</v>
      </c>
      <c r="G953">
        <v>249</v>
      </c>
      <c r="H953">
        <v>109.05</v>
      </c>
      <c r="I953">
        <v>27153.45</v>
      </c>
      <c r="J953">
        <v>19939.21</v>
      </c>
      <c r="K953">
        <v>7214.24</v>
      </c>
      <c r="L953" s="2">
        <v>45870</v>
      </c>
    </row>
    <row r="954" spans="1:12" x14ac:dyDescent="0.3">
      <c r="A954" t="s">
        <v>16</v>
      </c>
      <c r="B954" t="s">
        <v>24</v>
      </c>
      <c r="C954" t="s">
        <v>35</v>
      </c>
      <c r="D954" t="s">
        <v>40</v>
      </c>
      <c r="E954" t="s">
        <v>52</v>
      </c>
      <c r="F954" t="s">
        <v>55</v>
      </c>
      <c r="G954">
        <v>280</v>
      </c>
      <c r="H954">
        <v>187.18</v>
      </c>
      <c r="I954">
        <v>52410.400000000001</v>
      </c>
      <c r="J954">
        <v>36831.78</v>
      </c>
      <c r="K954">
        <v>15578.62</v>
      </c>
      <c r="L954" s="2">
        <v>45870</v>
      </c>
    </row>
    <row r="955" spans="1:12" x14ac:dyDescent="0.3">
      <c r="A955" t="s">
        <v>13</v>
      </c>
      <c r="B955" t="s">
        <v>30</v>
      </c>
      <c r="C955" t="s">
        <v>34</v>
      </c>
      <c r="D955" t="s">
        <v>43</v>
      </c>
      <c r="E955" t="s">
        <v>51</v>
      </c>
      <c r="F955" t="s">
        <v>55</v>
      </c>
      <c r="G955">
        <v>378</v>
      </c>
      <c r="H955">
        <v>73.53</v>
      </c>
      <c r="I955">
        <v>27794.34</v>
      </c>
      <c r="J955">
        <v>16931.77</v>
      </c>
      <c r="K955">
        <v>10862.57</v>
      </c>
      <c r="L955" s="2">
        <v>45870</v>
      </c>
    </row>
    <row r="956" spans="1:12" x14ac:dyDescent="0.3">
      <c r="A956" t="s">
        <v>14</v>
      </c>
      <c r="B956" t="s">
        <v>19</v>
      </c>
      <c r="C956" t="s">
        <v>35</v>
      </c>
      <c r="D956" t="s">
        <v>41</v>
      </c>
      <c r="E956" t="s">
        <v>51</v>
      </c>
      <c r="F956" t="s">
        <v>55</v>
      </c>
      <c r="G956">
        <v>482</v>
      </c>
      <c r="H956">
        <v>223.85</v>
      </c>
      <c r="I956">
        <v>107895.7</v>
      </c>
      <c r="J956">
        <v>69654.33</v>
      </c>
      <c r="K956">
        <v>38241.370000000003</v>
      </c>
      <c r="L956" s="2">
        <v>45870</v>
      </c>
    </row>
    <row r="957" spans="1:12" x14ac:dyDescent="0.3">
      <c r="A957" t="s">
        <v>14</v>
      </c>
      <c r="B957" t="s">
        <v>23</v>
      </c>
      <c r="C957" t="s">
        <v>35</v>
      </c>
      <c r="D957" t="s">
        <v>42</v>
      </c>
      <c r="E957" t="s">
        <v>52</v>
      </c>
      <c r="F957" t="s">
        <v>54</v>
      </c>
      <c r="G957">
        <v>372</v>
      </c>
      <c r="H957">
        <v>164.31</v>
      </c>
      <c r="I957">
        <v>61123.32</v>
      </c>
      <c r="J957">
        <v>38311.67</v>
      </c>
      <c r="K957">
        <v>22811.65</v>
      </c>
      <c r="L957" s="2">
        <v>45870</v>
      </c>
    </row>
    <row r="958" spans="1:12" x14ac:dyDescent="0.3">
      <c r="A958" t="s">
        <v>14</v>
      </c>
      <c r="B958" t="s">
        <v>19</v>
      </c>
      <c r="C958" t="s">
        <v>35</v>
      </c>
      <c r="D958" t="s">
        <v>42</v>
      </c>
      <c r="E958" t="s">
        <v>50</v>
      </c>
      <c r="F958" t="s">
        <v>55</v>
      </c>
      <c r="G958">
        <v>433</v>
      </c>
      <c r="H958">
        <v>11.11</v>
      </c>
      <c r="I958">
        <v>4810.63</v>
      </c>
      <c r="J958">
        <v>3706.19</v>
      </c>
      <c r="K958">
        <v>1104.44</v>
      </c>
      <c r="L958" s="2">
        <v>45870</v>
      </c>
    </row>
    <row r="959" spans="1:12" x14ac:dyDescent="0.3">
      <c r="A959" t="s">
        <v>14</v>
      </c>
      <c r="B959" t="s">
        <v>23</v>
      </c>
      <c r="C959" t="s">
        <v>35</v>
      </c>
      <c r="D959" t="s">
        <v>44</v>
      </c>
      <c r="E959" t="s">
        <v>48</v>
      </c>
      <c r="F959" t="s">
        <v>55</v>
      </c>
      <c r="G959">
        <v>252</v>
      </c>
      <c r="H959">
        <v>158.68</v>
      </c>
      <c r="I959">
        <v>39987.360000000001</v>
      </c>
      <c r="J959">
        <v>26298.39</v>
      </c>
      <c r="K959">
        <v>13688.97</v>
      </c>
      <c r="L959" s="2">
        <v>45870</v>
      </c>
    </row>
    <row r="960" spans="1:12" x14ac:dyDescent="0.3">
      <c r="A960" t="s">
        <v>15</v>
      </c>
      <c r="B960" t="s">
        <v>20</v>
      </c>
      <c r="C960" t="s">
        <v>35</v>
      </c>
      <c r="D960" t="s">
        <v>41</v>
      </c>
      <c r="E960" t="s">
        <v>50</v>
      </c>
      <c r="F960" t="s">
        <v>55</v>
      </c>
      <c r="G960">
        <v>225</v>
      </c>
      <c r="H960">
        <v>185.15</v>
      </c>
      <c r="I960">
        <v>41658.75</v>
      </c>
      <c r="J960">
        <v>30226.43</v>
      </c>
      <c r="K960">
        <v>11432.32</v>
      </c>
      <c r="L960" s="2">
        <v>45870</v>
      </c>
    </row>
    <row r="961" spans="1:12" x14ac:dyDescent="0.3">
      <c r="A961" t="s">
        <v>16</v>
      </c>
      <c r="B961" t="s">
        <v>25</v>
      </c>
      <c r="C961" t="s">
        <v>34</v>
      </c>
      <c r="D961" t="s">
        <v>38</v>
      </c>
      <c r="E961" t="s">
        <v>48</v>
      </c>
      <c r="F961" t="s">
        <v>54</v>
      </c>
      <c r="G961">
        <v>472</v>
      </c>
      <c r="H961">
        <v>200.02</v>
      </c>
      <c r="I961">
        <v>94409.44</v>
      </c>
      <c r="J961">
        <v>69647.199999999997</v>
      </c>
      <c r="K961">
        <v>24762.240000000002</v>
      </c>
      <c r="L961" s="2">
        <v>45870</v>
      </c>
    </row>
    <row r="962" spans="1:12" x14ac:dyDescent="0.3">
      <c r="A962" t="s">
        <v>13</v>
      </c>
      <c r="B962" t="s">
        <v>27</v>
      </c>
      <c r="C962" t="s">
        <v>35</v>
      </c>
      <c r="D962" t="s">
        <v>47</v>
      </c>
      <c r="E962" t="s">
        <v>51</v>
      </c>
      <c r="F962" t="s">
        <v>53</v>
      </c>
      <c r="G962">
        <v>141</v>
      </c>
      <c r="H962">
        <v>121.76</v>
      </c>
      <c r="I962">
        <v>17168.16</v>
      </c>
      <c r="J962">
        <v>13062.25</v>
      </c>
      <c r="K962">
        <v>4105.91</v>
      </c>
      <c r="L962" s="2">
        <v>45870</v>
      </c>
    </row>
    <row r="963" spans="1:12" x14ac:dyDescent="0.3">
      <c r="A963" t="s">
        <v>14</v>
      </c>
      <c r="B963" t="s">
        <v>19</v>
      </c>
      <c r="C963" t="s">
        <v>35</v>
      </c>
      <c r="D963" t="s">
        <v>42</v>
      </c>
      <c r="E963" t="s">
        <v>52</v>
      </c>
      <c r="F963" t="s">
        <v>53</v>
      </c>
      <c r="G963">
        <v>171</v>
      </c>
      <c r="H963">
        <v>136.91999999999999</v>
      </c>
      <c r="I963">
        <v>23413.32</v>
      </c>
      <c r="J963">
        <v>15423.37</v>
      </c>
      <c r="K963">
        <v>7989.95</v>
      </c>
      <c r="L963" s="2">
        <v>45870</v>
      </c>
    </row>
    <row r="964" spans="1:12" x14ac:dyDescent="0.3">
      <c r="A964" t="s">
        <v>13</v>
      </c>
      <c r="B964" t="s">
        <v>30</v>
      </c>
      <c r="C964" t="s">
        <v>35</v>
      </c>
      <c r="D964" t="s">
        <v>40</v>
      </c>
      <c r="E964" t="s">
        <v>51</v>
      </c>
      <c r="F964" t="s">
        <v>55</v>
      </c>
      <c r="G964">
        <v>189</v>
      </c>
      <c r="H964">
        <v>91.11</v>
      </c>
      <c r="I964">
        <v>17219.79</v>
      </c>
      <c r="J964">
        <v>14388.8</v>
      </c>
      <c r="K964">
        <v>2830.99</v>
      </c>
      <c r="L964" s="2">
        <v>45870</v>
      </c>
    </row>
    <row r="965" spans="1:12" x14ac:dyDescent="0.3">
      <c r="A965" t="s">
        <v>16</v>
      </c>
      <c r="B965" t="s">
        <v>25</v>
      </c>
      <c r="C965" t="s">
        <v>34</v>
      </c>
      <c r="D965" t="s">
        <v>36</v>
      </c>
      <c r="E965" t="s">
        <v>50</v>
      </c>
      <c r="F965" t="s">
        <v>53</v>
      </c>
      <c r="G965">
        <v>143</v>
      </c>
      <c r="H965">
        <v>222.33</v>
      </c>
      <c r="I965">
        <v>31793.19</v>
      </c>
      <c r="J965">
        <v>21068.799999999999</v>
      </c>
      <c r="K965">
        <v>10724.39</v>
      </c>
      <c r="L965" s="2">
        <v>45870</v>
      </c>
    </row>
    <row r="966" spans="1:12" x14ac:dyDescent="0.3">
      <c r="A966" t="s">
        <v>15</v>
      </c>
      <c r="B966" t="s">
        <v>31</v>
      </c>
      <c r="C966" t="s">
        <v>34</v>
      </c>
      <c r="D966" t="s">
        <v>43</v>
      </c>
      <c r="E966" t="s">
        <v>49</v>
      </c>
      <c r="F966" t="s">
        <v>53</v>
      </c>
      <c r="G966">
        <v>241</v>
      </c>
      <c r="H966">
        <v>112.44</v>
      </c>
      <c r="I966">
        <v>27098.04</v>
      </c>
      <c r="J966">
        <v>18267.71</v>
      </c>
      <c r="K966">
        <v>8830.33</v>
      </c>
      <c r="L966" s="2">
        <v>45870</v>
      </c>
    </row>
    <row r="967" spans="1:12" x14ac:dyDescent="0.3">
      <c r="A967" t="s">
        <v>13</v>
      </c>
      <c r="B967" t="s">
        <v>27</v>
      </c>
      <c r="C967" t="s">
        <v>35</v>
      </c>
      <c r="D967" t="s">
        <v>40</v>
      </c>
      <c r="E967" t="s">
        <v>50</v>
      </c>
      <c r="F967" t="s">
        <v>55</v>
      </c>
      <c r="G967">
        <v>140</v>
      </c>
      <c r="H967">
        <v>162.94999999999999</v>
      </c>
      <c r="I967">
        <v>22813</v>
      </c>
      <c r="J967">
        <v>17790.45</v>
      </c>
      <c r="K967">
        <v>5022.55</v>
      </c>
      <c r="L967" s="2">
        <v>45870</v>
      </c>
    </row>
    <row r="968" spans="1:12" x14ac:dyDescent="0.3">
      <c r="A968" t="s">
        <v>14</v>
      </c>
      <c r="B968" t="s">
        <v>19</v>
      </c>
      <c r="C968" t="s">
        <v>34</v>
      </c>
      <c r="D968" t="s">
        <v>36</v>
      </c>
      <c r="E968" t="s">
        <v>51</v>
      </c>
      <c r="F968" t="s">
        <v>55</v>
      </c>
      <c r="G968">
        <v>134</v>
      </c>
      <c r="H968">
        <v>71.09</v>
      </c>
      <c r="I968">
        <v>9526.06</v>
      </c>
      <c r="J968">
        <v>7199.24</v>
      </c>
      <c r="K968">
        <v>2326.8200000000002</v>
      </c>
      <c r="L968" s="2">
        <v>45870</v>
      </c>
    </row>
    <row r="969" spans="1:12" x14ac:dyDescent="0.3">
      <c r="A969" t="s">
        <v>15</v>
      </c>
      <c r="B969" t="s">
        <v>31</v>
      </c>
      <c r="C969" t="s">
        <v>35</v>
      </c>
      <c r="D969" t="s">
        <v>40</v>
      </c>
      <c r="E969" t="s">
        <v>48</v>
      </c>
      <c r="F969" t="s">
        <v>53</v>
      </c>
      <c r="G969">
        <v>230</v>
      </c>
      <c r="H969">
        <v>108.96</v>
      </c>
      <c r="I969">
        <v>25060.799999999999</v>
      </c>
      <c r="J969">
        <v>17418.48</v>
      </c>
      <c r="K969">
        <v>7642.32</v>
      </c>
      <c r="L969" s="2">
        <v>45870</v>
      </c>
    </row>
    <row r="970" spans="1:12" x14ac:dyDescent="0.3">
      <c r="A970" t="s">
        <v>16</v>
      </c>
      <c r="B970" t="s">
        <v>22</v>
      </c>
      <c r="C970" t="s">
        <v>35</v>
      </c>
      <c r="D970" t="s">
        <v>46</v>
      </c>
      <c r="E970" t="s">
        <v>49</v>
      </c>
      <c r="F970" t="s">
        <v>53</v>
      </c>
      <c r="G970">
        <v>121</v>
      </c>
      <c r="H970">
        <v>246.87</v>
      </c>
      <c r="I970">
        <v>29871.27</v>
      </c>
      <c r="J970">
        <v>19279.02</v>
      </c>
      <c r="K970">
        <v>10592.25</v>
      </c>
      <c r="L970" s="2">
        <v>45870</v>
      </c>
    </row>
    <row r="971" spans="1:12" x14ac:dyDescent="0.3">
      <c r="A971" t="s">
        <v>13</v>
      </c>
      <c r="B971" t="s">
        <v>27</v>
      </c>
      <c r="C971" t="s">
        <v>35</v>
      </c>
      <c r="D971" t="s">
        <v>40</v>
      </c>
      <c r="E971" t="s">
        <v>49</v>
      </c>
      <c r="F971" t="s">
        <v>54</v>
      </c>
      <c r="G971">
        <v>366</v>
      </c>
      <c r="H971">
        <v>45.67</v>
      </c>
      <c r="I971">
        <v>16715.22</v>
      </c>
      <c r="J971">
        <v>12363.59</v>
      </c>
      <c r="K971">
        <v>4351.63</v>
      </c>
      <c r="L971" s="2">
        <v>45870</v>
      </c>
    </row>
    <row r="972" spans="1:12" x14ac:dyDescent="0.3">
      <c r="A972" t="s">
        <v>15</v>
      </c>
      <c r="B972" t="s">
        <v>29</v>
      </c>
      <c r="C972" t="s">
        <v>35</v>
      </c>
      <c r="D972" t="s">
        <v>41</v>
      </c>
      <c r="E972" t="s">
        <v>48</v>
      </c>
      <c r="F972" t="s">
        <v>53</v>
      </c>
      <c r="G972">
        <v>326</v>
      </c>
      <c r="H972">
        <v>136.87</v>
      </c>
      <c r="I972">
        <v>44619.62</v>
      </c>
      <c r="J972">
        <v>36618.589999999997</v>
      </c>
      <c r="K972">
        <v>8001.03</v>
      </c>
      <c r="L972" s="2">
        <v>45870</v>
      </c>
    </row>
    <row r="973" spans="1:12" x14ac:dyDescent="0.3">
      <c r="A973" t="s">
        <v>14</v>
      </c>
      <c r="B973" t="s">
        <v>23</v>
      </c>
      <c r="C973" t="s">
        <v>34</v>
      </c>
      <c r="D973" t="s">
        <v>36</v>
      </c>
      <c r="E973" t="s">
        <v>49</v>
      </c>
      <c r="F973" t="s">
        <v>54</v>
      </c>
      <c r="G973">
        <v>237</v>
      </c>
      <c r="H973">
        <v>295.61</v>
      </c>
      <c r="I973">
        <v>70059.570000000007</v>
      </c>
      <c r="J973">
        <v>55246.32</v>
      </c>
      <c r="K973">
        <v>14813.25</v>
      </c>
      <c r="L973" s="2">
        <v>45870</v>
      </c>
    </row>
    <row r="974" spans="1:12" x14ac:dyDescent="0.3">
      <c r="A974" t="s">
        <v>16</v>
      </c>
      <c r="B974" t="s">
        <v>24</v>
      </c>
      <c r="C974" t="s">
        <v>34</v>
      </c>
      <c r="D974" t="s">
        <v>38</v>
      </c>
      <c r="E974" t="s">
        <v>48</v>
      </c>
      <c r="F974" t="s">
        <v>53</v>
      </c>
      <c r="G974">
        <v>113</v>
      </c>
      <c r="H974">
        <v>66.25</v>
      </c>
      <c r="I974">
        <v>7486.25</v>
      </c>
      <c r="J974">
        <v>6138.38</v>
      </c>
      <c r="K974">
        <v>1347.87</v>
      </c>
      <c r="L974" s="2">
        <v>45870</v>
      </c>
    </row>
    <row r="975" spans="1:12" x14ac:dyDescent="0.3">
      <c r="A975" t="s">
        <v>13</v>
      </c>
      <c r="B975" t="s">
        <v>30</v>
      </c>
      <c r="C975" t="s">
        <v>34</v>
      </c>
      <c r="D975" t="s">
        <v>43</v>
      </c>
      <c r="E975" t="s">
        <v>50</v>
      </c>
      <c r="F975" t="s">
        <v>55</v>
      </c>
      <c r="G975">
        <v>99</v>
      </c>
      <c r="H975">
        <v>164.45</v>
      </c>
      <c r="I975">
        <v>16280.55</v>
      </c>
      <c r="J975">
        <v>13684.3</v>
      </c>
      <c r="K975">
        <v>2596.25</v>
      </c>
      <c r="L975" s="2">
        <v>45870</v>
      </c>
    </row>
    <row r="976" spans="1:12" x14ac:dyDescent="0.3">
      <c r="A976" t="s">
        <v>14</v>
      </c>
      <c r="B976" t="s">
        <v>19</v>
      </c>
      <c r="C976" t="s">
        <v>34</v>
      </c>
      <c r="D976" t="s">
        <v>37</v>
      </c>
      <c r="E976" t="s">
        <v>51</v>
      </c>
      <c r="F976" t="s">
        <v>54</v>
      </c>
      <c r="G976">
        <v>99</v>
      </c>
      <c r="H976">
        <v>161.54</v>
      </c>
      <c r="I976">
        <v>15992.46</v>
      </c>
      <c r="J976">
        <v>10471.530000000001</v>
      </c>
      <c r="K976">
        <v>5520.93</v>
      </c>
      <c r="L976" s="2">
        <v>45870</v>
      </c>
    </row>
    <row r="977" spans="1:12" x14ac:dyDescent="0.3">
      <c r="A977" t="s">
        <v>15</v>
      </c>
      <c r="B977" t="s">
        <v>20</v>
      </c>
      <c r="C977" t="s">
        <v>34</v>
      </c>
      <c r="D977" t="s">
        <v>36</v>
      </c>
      <c r="E977" t="s">
        <v>49</v>
      </c>
      <c r="F977" t="s">
        <v>54</v>
      </c>
      <c r="G977">
        <v>478</v>
      </c>
      <c r="H977">
        <v>131.83000000000001</v>
      </c>
      <c r="I977">
        <v>63014.74</v>
      </c>
      <c r="J977">
        <v>52071.6</v>
      </c>
      <c r="K977">
        <v>10943.14</v>
      </c>
      <c r="L977" s="2">
        <v>45870</v>
      </c>
    </row>
    <row r="978" spans="1:12" x14ac:dyDescent="0.3">
      <c r="A978" t="s">
        <v>16</v>
      </c>
      <c r="B978" t="s">
        <v>25</v>
      </c>
      <c r="C978" t="s">
        <v>35</v>
      </c>
      <c r="D978" t="s">
        <v>41</v>
      </c>
      <c r="E978" t="s">
        <v>51</v>
      </c>
      <c r="F978" t="s">
        <v>53</v>
      </c>
      <c r="G978">
        <v>459</v>
      </c>
      <c r="H978">
        <v>93.24</v>
      </c>
      <c r="I978">
        <v>42797.16</v>
      </c>
      <c r="J978">
        <v>32278.98</v>
      </c>
      <c r="K978">
        <v>10518.18</v>
      </c>
      <c r="L978" s="2">
        <v>45901</v>
      </c>
    </row>
    <row r="979" spans="1:12" x14ac:dyDescent="0.3">
      <c r="A979" t="s">
        <v>15</v>
      </c>
      <c r="B979" t="s">
        <v>21</v>
      </c>
      <c r="C979" t="s">
        <v>35</v>
      </c>
      <c r="D979" t="s">
        <v>46</v>
      </c>
      <c r="E979" t="s">
        <v>49</v>
      </c>
      <c r="F979" t="s">
        <v>54</v>
      </c>
      <c r="G979">
        <v>480</v>
      </c>
      <c r="H979">
        <v>164.07</v>
      </c>
      <c r="I979">
        <v>78753.600000000006</v>
      </c>
      <c r="J979">
        <v>61437.97</v>
      </c>
      <c r="K979">
        <v>17315.63</v>
      </c>
      <c r="L979" s="2">
        <v>45901</v>
      </c>
    </row>
    <row r="980" spans="1:12" x14ac:dyDescent="0.3">
      <c r="A980" t="s">
        <v>15</v>
      </c>
      <c r="B980" t="s">
        <v>31</v>
      </c>
      <c r="C980" t="s">
        <v>35</v>
      </c>
      <c r="D980" t="s">
        <v>47</v>
      </c>
      <c r="E980" t="s">
        <v>50</v>
      </c>
      <c r="F980" t="s">
        <v>55</v>
      </c>
      <c r="G980">
        <v>233</v>
      </c>
      <c r="H980">
        <v>108.71</v>
      </c>
      <c r="I980">
        <v>25329.43</v>
      </c>
      <c r="J980">
        <v>18626.04</v>
      </c>
      <c r="K980">
        <v>6703.39</v>
      </c>
      <c r="L980" s="2">
        <v>45901</v>
      </c>
    </row>
    <row r="981" spans="1:12" x14ac:dyDescent="0.3">
      <c r="A981" t="s">
        <v>16</v>
      </c>
      <c r="B981" t="s">
        <v>22</v>
      </c>
      <c r="C981" t="s">
        <v>35</v>
      </c>
      <c r="D981" t="s">
        <v>40</v>
      </c>
      <c r="E981" t="s">
        <v>52</v>
      </c>
      <c r="F981" t="s">
        <v>55</v>
      </c>
      <c r="G981">
        <v>255</v>
      </c>
      <c r="H981">
        <v>239.2</v>
      </c>
      <c r="I981">
        <v>60996</v>
      </c>
      <c r="J981">
        <v>45474.78</v>
      </c>
      <c r="K981">
        <v>15521.22</v>
      </c>
      <c r="L981" s="2">
        <v>45901</v>
      </c>
    </row>
    <row r="982" spans="1:12" x14ac:dyDescent="0.3">
      <c r="A982" t="s">
        <v>16</v>
      </c>
      <c r="B982" t="s">
        <v>22</v>
      </c>
      <c r="C982" t="s">
        <v>35</v>
      </c>
      <c r="D982" t="s">
        <v>39</v>
      </c>
      <c r="E982" t="s">
        <v>51</v>
      </c>
      <c r="F982" t="s">
        <v>54</v>
      </c>
      <c r="G982">
        <v>323</v>
      </c>
      <c r="H982">
        <v>237.31</v>
      </c>
      <c r="I982">
        <v>76651.13</v>
      </c>
      <c r="J982">
        <v>55206.13</v>
      </c>
      <c r="K982">
        <v>21445</v>
      </c>
      <c r="L982" s="2">
        <v>45901</v>
      </c>
    </row>
    <row r="983" spans="1:12" x14ac:dyDescent="0.3">
      <c r="A983" t="s">
        <v>14</v>
      </c>
      <c r="B983" t="s">
        <v>23</v>
      </c>
      <c r="C983" t="s">
        <v>34</v>
      </c>
      <c r="D983" t="s">
        <v>45</v>
      </c>
      <c r="E983" t="s">
        <v>52</v>
      </c>
      <c r="F983" t="s">
        <v>55</v>
      </c>
      <c r="G983">
        <v>74</v>
      </c>
      <c r="H983">
        <v>103.82</v>
      </c>
      <c r="I983">
        <v>7682.68</v>
      </c>
      <c r="J983">
        <v>6212.03</v>
      </c>
      <c r="K983">
        <v>1470.65</v>
      </c>
      <c r="L983" s="2">
        <v>45901</v>
      </c>
    </row>
    <row r="984" spans="1:12" x14ac:dyDescent="0.3">
      <c r="A984" t="s">
        <v>13</v>
      </c>
      <c r="B984" t="s">
        <v>27</v>
      </c>
      <c r="C984" t="s">
        <v>34</v>
      </c>
      <c r="D984" t="s">
        <v>37</v>
      </c>
      <c r="E984" t="s">
        <v>48</v>
      </c>
      <c r="F984" t="s">
        <v>53</v>
      </c>
      <c r="G984">
        <v>377</v>
      </c>
      <c r="H984">
        <v>290.68</v>
      </c>
      <c r="I984">
        <v>109586.36</v>
      </c>
      <c r="J984">
        <v>73846</v>
      </c>
      <c r="K984">
        <v>35740.36</v>
      </c>
      <c r="L984" s="2">
        <v>45901</v>
      </c>
    </row>
    <row r="985" spans="1:12" x14ac:dyDescent="0.3">
      <c r="A985" t="s">
        <v>16</v>
      </c>
      <c r="B985" t="s">
        <v>28</v>
      </c>
      <c r="C985" t="s">
        <v>35</v>
      </c>
      <c r="D985" t="s">
        <v>47</v>
      </c>
      <c r="E985" t="s">
        <v>50</v>
      </c>
      <c r="F985" t="s">
        <v>55</v>
      </c>
      <c r="G985">
        <v>387</v>
      </c>
      <c r="H985">
        <v>218.86</v>
      </c>
      <c r="I985">
        <v>84698.82</v>
      </c>
      <c r="J985">
        <v>53076.07</v>
      </c>
      <c r="K985">
        <v>31622.75</v>
      </c>
      <c r="L985" s="2">
        <v>45901</v>
      </c>
    </row>
    <row r="986" spans="1:12" x14ac:dyDescent="0.3">
      <c r="A986" t="s">
        <v>16</v>
      </c>
      <c r="B986" t="s">
        <v>24</v>
      </c>
      <c r="C986" t="s">
        <v>35</v>
      </c>
      <c r="D986" t="s">
        <v>44</v>
      </c>
      <c r="E986" t="s">
        <v>51</v>
      </c>
      <c r="F986" t="s">
        <v>54</v>
      </c>
      <c r="G986">
        <v>477</v>
      </c>
      <c r="H986">
        <v>120.01</v>
      </c>
      <c r="I986">
        <v>57244.77</v>
      </c>
      <c r="J986">
        <v>43012.84</v>
      </c>
      <c r="K986">
        <v>14231.93</v>
      </c>
      <c r="L986" s="2">
        <v>45901</v>
      </c>
    </row>
    <row r="987" spans="1:12" x14ac:dyDescent="0.3">
      <c r="A987" t="s">
        <v>16</v>
      </c>
      <c r="B987" t="s">
        <v>22</v>
      </c>
      <c r="C987" t="s">
        <v>35</v>
      </c>
      <c r="D987" t="s">
        <v>41</v>
      </c>
      <c r="E987" t="s">
        <v>50</v>
      </c>
      <c r="F987" t="s">
        <v>55</v>
      </c>
      <c r="G987">
        <v>47</v>
      </c>
      <c r="H987">
        <v>181.59</v>
      </c>
      <c r="I987">
        <v>8534.73</v>
      </c>
      <c r="J987">
        <v>6620.04</v>
      </c>
      <c r="K987">
        <v>1914.69</v>
      </c>
      <c r="L987" s="2">
        <v>45901</v>
      </c>
    </row>
    <row r="988" spans="1:12" x14ac:dyDescent="0.3">
      <c r="A988" t="s">
        <v>16</v>
      </c>
      <c r="B988" t="s">
        <v>28</v>
      </c>
      <c r="C988" t="s">
        <v>34</v>
      </c>
      <c r="D988" t="s">
        <v>36</v>
      </c>
      <c r="E988" t="s">
        <v>49</v>
      </c>
      <c r="F988" t="s">
        <v>54</v>
      </c>
      <c r="G988">
        <v>128</v>
      </c>
      <c r="H988">
        <v>75.16</v>
      </c>
      <c r="I988">
        <v>9620.48</v>
      </c>
      <c r="J988">
        <v>6205.23</v>
      </c>
      <c r="K988">
        <v>3415.25</v>
      </c>
      <c r="L988" s="2">
        <v>45901</v>
      </c>
    </row>
    <row r="989" spans="1:12" x14ac:dyDescent="0.3">
      <c r="A989" t="s">
        <v>13</v>
      </c>
      <c r="B989" t="s">
        <v>30</v>
      </c>
      <c r="C989" t="s">
        <v>35</v>
      </c>
      <c r="D989" t="s">
        <v>41</v>
      </c>
      <c r="E989" t="s">
        <v>49</v>
      </c>
      <c r="F989" t="s">
        <v>55</v>
      </c>
      <c r="G989">
        <v>66</v>
      </c>
      <c r="H989">
        <v>227.9</v>
      </c>
      <c r="I989">
        <v>15041.4</v>
      </c>
      <c r="J989">
        <v>11495.22</v>
      </c>
      <c r="K989">
        <v>3546.18</v>
      </c>
      <c r="L989" s="2">
        <v>45901</v>
      </c>
    </row>
    <row r="990" spans="1:12" x14ac:dyDescent="0.3">
      <c r="A990" t="s">
        <v>15</v>
      </c>
      <c r="B990" t="s">
        <v>21</v>
      </c>
      <c r="C990" t="s">
        <v>34</v>
      </c>
      <c r="D990" t="s">
        <v>37</v>
      </c>
      <c r="E990" t="s">
        <v>52</v>
      </c>
      <c r="F990" t="s">
        <v>55</v>
      </c>
      <c r="G990">
        <v>200</v>
      </c>
      <c r="H990">
        <v>140.44</v>
      </c>
      <c r="I990">
        <v>28088</v>
      </c>
      <c r="J990">
        <v>18219.439999999999</v>
      </c>
      <c r="K990">
        <v>9868.56</v>
      </c>
      <c r="L990" s="2">
        <v>45901</v>
      </c>
    </row>
    <row r="991" spans="1:12" x14ac:dyDescent="0.3">
      <c r="A991" t="s">
        <v>14</v>
      </c>
      <c r="B991" t="s">
        <v>32</v>
      </c>
      <c r="C991" t="s">
        <v>35</v>
      </c>
      <c r="D991" t="s">
        <v>41</v>
      </c>
      <c r="E991" t="s">
        <v>52</v>
      </c>
      <c r="F991" t="s">
        <v>55</v>
      </c>
      <c r="G991">
        <v>334</v>
      </c>
      <c r="H991">
        <v>63.5</v>
      </c>
      <c r="I991">
        <v>21209</v>
      </c>
      <c r="J991">
        <v>14646.06</v>
      </c>
      <c r="K991">
        <v>6562.94</v>
      </c>
      <c r="L991" s="2">
        <v>45901</v>
      </c>
    </row>
    <row r="992" spans="1:12" x14ac:dyDescent="0.3">
      <c r="A992" t="s">
        <v>15</v>
      </c>
      <c r="B992" t="s">
        <v>20</v>
      </c>
      <c r="C992" t="s">
        <v>35</v>
      </c>
      <c r="D992" t="s">
        <v>40</v>
      </c>
      <c r="E992" t="s">
        <v>51</v>
      </c>
      <c r="F992" t="s">
        <v>53</v>
      </c>
      <c r="G992">
        <v>58</v>
      </c>
      <c r="H992">
        <v>78.69</v>
      </c>
      <c r="I992">
        <v>4564.0200000000004</v>
      </c>
      <c r="J992">
        <v>3629</v>
      </c>
      <c r="K992">
        <v>935.02</v>
      </c>
      <c r="L992" s="2">
        <v>45901</v>
      </c>
    </row>
    <row r="993" spans="1:12" x14ac:dyDescent="0.3">
      <c r="A993" t="s">
        <v>15</v>
      </c>
      <c r="B993" t="s">
        <v>31</v>
      </c>
      <c r="C993" t="s">
        <v>34</v>
      </c>
      <c r="D993" t="s">
        <v>36</v>
      </c>
      <c r="E993" t="s">
        <v>49</v>
      </c>
      <c r="F993" t="s">
        <v>55</v>
      </c>
      <c r="G993">
        <v>145</v>
      </c>
      <c r="H993">
        <v>53.48</v>
      </c>
      <c r="I993">
        <v>7754.6</v>
      </c>
      <c r="J993">
        <v>5097.2</v>
      </c>
      <c r="K993">
        <v>2657.4</v>
      </c>
      <c r="L993" s="2">
        <v>45901</v>
      </c>
    </row>
    <row r="994" spans="1:12" x14ac:dyDescent="0.3">
      <c r="A994" t="s">
        <v>14</v>
      </c>
      <c r="B994" t="s">
        <v>23</v>
      </c>
      <c r="C994" t="s">
        <v>34</v>
      </c>
      <c r="D994" t="s">
        <v>37</v>
      </c>
      <c r="E994" t="s">
        <v>48</v>
      </c>
      <c r="F994" t="s">
        <v>54</v>
      </c>
      <c r="G994">
        <v>208</v>
      </c>
      <c r="H994">
        <v>191.6</v>
      </c>
      <c r="I994">
        <v>39852.800000000003</v>
      </c>
      <c r="J994">
        <v>25219.3</v>
      </c>
      <c r="K994">
        <v>14633.5</v>
      </c>
      <c r="L994" s="2">
        <v>45901</v>
      </c>
    </row>
    <row r="995" spans="1:12" x14ac:dyDescent="0.3">
      <c r="A995" t="s">
        <v>15</v>
      </c>
      <c r="B995" t="s">
        <v>20</v>
      </c>
      <c r="C995" t="s">
        <v>35</v>
      </c>
      <c r="D995" t="s">
        <v>41</v>
      </c>
      <c r="E995" t="s">
        <v>50</v>
      </c>
      <c r="F995" t="s">
        <v>54</v>
      </c>
      <c r="G995">
        <v>440</v>
      </c>
      <c r="H995">
        <v>198.98</v>
      </c>
      <c r="I995">
        <v>87551.2</v>
      </c>
      <c r="J995">
        <v>59404.82</v>
      </c>
      <c r="K995">
        <v>28146.38</v>
      </c>
      <c r="L995" s="2">
        <v>45901</v>
      </c>
    </row>
    <row r="996" spans="1:12" x14ac:dyDescent="0.3">
      <c r="A996" t="s">
        <v>14</v>
      </c>
      <c r="B996" t="s">
        <v>18</v>
      </c>
      <c r="C996" t="s">
        <v>34</v>
      </c>
      <c r="D996" t="s">
        <v>45</v>
      </c>
      <c r="E996" t="s">
        <v>50</v>
      </c>
      <c r="F996" t="s">
        <v>55</v>
      </c>
      <c r="G996">
        <v>116</v>
      </c>
      <c r="H996">
        <v>100.82</v>
      </c>
      <c r="I996">
        <v>11695.12</v>
      </c>
      <c r="J996">
        <v>9351.98</v>
      </c>
      <c r="K996">
        <v>2343.14</v>
      </c>
      <c r="L996" s="2">
        <v>45901</v>
      </c>
    </row>
    <row r="997" spans="1:12" x14ac:dyDescent="0.3">
      <c r="A997" t="s">
        <v>14</v>
      </c>
      <c r="B997" t="s">
        <v>32</v>
      </c>
      <c r="C997" t="s">
        <v>35</v>
      </c>
      <c r="D997" t="s">
        <v>47</v>
      </c>
      <c r="E997" t="s">
        <v>49</v>
      </c>
      <c r="F997" t="s">
        <v>53</v>
      </c>
      <c r="G997">
        <v>174</v>
      </c>
      <c r="H997">
        <v>148.58000000000001</v>
      </c>
      <c r="I997">
        <v>25852.92</v>
      </c>
      <c r="J997">
        <v>18951.849999999999</v>
      </c>
      <c r="K997">
        <v>6901.07</v>
      </c>
      <c r="L997" s="2">
        <v>45901</v>
      </c>
    </row>
    <row r="998" spans="1:12" x14ac:dyDescent="0.3">
      <c r="A998" t="s">
        <v>14</v>
      </c>
      <c r="B998" t="s">
        <v>32</v>
      </c>
      <c r="C998" t="s">
        <v>34</v>
      </c>
      <c r="D998" t="s">
        <v>43</v>
      </c>
      <c r="E998" t="s">
        <v>52</v>
      </c>
      <c r="F998" t="s">
        <v>53</v>
      </c>
      <c r="G998">
        <v>445</v>
      </c>
      <c r="H998">
        <v>259.27</v>
      </c>
      <c r="I998">
        <v>115375.15</v>
      </c>
      <c r="J998">
        <v>80543.210000000006</v>
      </c>
      <c r="K998">
        <v>34831.94</v>
      </c>
      <c r="L998" s="2">
        <v>45901</v>
      </c>
    </row>
    <row r="999" spans="1:12" x14ac:dyDescent="0.3">
      <c r="A999" t="s">
        <v>15</v>
      </c>
      <c r="B999" t="s">
        <v>21</v>
      </c>
      <c r="C999" t="s">
        <v>34</v>
      </c>
      <c r="D999" t="s">
        <v>43</v>
      </c>
      <c r="E999" t="s">
        <v>52</v>
      </c>
      <c r="F999" t="s">
        <v>55</v>
      </c>
      <c r="G999">
        <v>269</v>
      </c>
      <c r="H999">
        <v>153.88999999999999</v>
      </c>
      <c r="I999">
        <v>41396.410000000003</v>
      </c>
      <c r="J999">
        <v>26682.6</v>
      </c>
      <c r="K999">
        <v>14713.81</v>
      </c>
      <c r="L999" s="2">
        <v>45901</v>
      </c>
    </row>
    <row r="1000" spans="1:12" x14ac:dyDescent="0.3">
      <c r="A1000" t="s">
        <v>13</v>
      </c>
      <c r="B1000" t="s">
        <v>26</v>
      </c>
      <c r="C1000" t="s">
        <v>34</v>
      </c>
      <c r="D1000" t="s">
        <v>36</v>
      </c>
      <c r="E1000" t="s">
        <v>49</v>
      </c>
      <c r="F1000" t="s">
        <v>55</v>
      </c>
      <c r="G1000">
        <v>412</v>
      </c>
      <c r="H1000">
        <v>85.2</v>
      </c>
      <c r="I1000">
        <v>35102.400000000001</v>
      </c>
      <c r="J1000">
        <v>24831.94</v>
      </c>
      <c r="K1000">
        <v>10270.459999999999</v>
      </c>
      <c r="L1000" s="2">
        <v>45901</v>
      </c>
    </row>
    <row r="1001" spans="1:12" x14ac:dyDescent="0.3">
      <c r="A1001" t="s">
        <v>15</v>
      </c>
      <c r="B1001" t="s">
        <v>33</v>
      </c>
      <c r="C1001" t="s">
        <v>35</v>
      </c>
      <c r="D1001" t="s">
        <v>44</v>
      </c>
      <c r="E1001" t="s">
        <v>50</v>
      </c>
      <c r="F1001" t="s">
        <v>54</v>
      </c>
      <c r="G1001">
        <v>266</v>
      </c>
      <c r="H1001">
        <v>234.9</v>
      </c>
      <c r="I1001">
        <v>62483.4</v>
      </c>
      <c r="J1001">
        <v>44570.8</v>
      </c>
      <c r="K1001">
        <v>17912.599999999999</v>
      </c>
      <c r="L1001" s="2">
        <v>45901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D033-2752-4E1A-80DA-89331A851B74}">
  <dimension ref="A3:I40"/>
  <sheetViews>
    <sheetView topLeftCell="A2" zoomScale="74" workbookViewId="0">
      <selection activeCell="E35" sqref="E35"/>
    </sheetView>
  </sheetViews>
  <sheetFormatPr defaultRowHeight="14.4" x14ac:dyDescent="0.3"/>
  <cols>
    <col min="1" max="1" width="13.88671875" bestFit="1" customWidth="1"/>
    <col min="2" max="2" width="15.5546875" bestFit="1" customWidth="1"/>
    <col min="3" max="3" width="10.77734375" bestFit="1" customWidth="1"/>
    <col min="4" max="4" width="16" bestFit="1" customWidth="1"/>
    <col min="5" max="5" width="15.5546875" bestFit="1" customWidth="1"/>
    <col min="6" max="6" width="19" customWidth="1"/>
    <col min="7" max="7" width="11.5546875" bestFit="1" customWidth="1"/>
    <col min="8" max="8" width="12.44140625" bestFit="1" customWidth="1"/>
    <col min="9" max="9" width="15.5546875" bestFit="1" customWidth="1"/>
  </cols>
  <sheetData>
    <row r="3" spans="1:9" x14ac:dyDescent="0.3">
      <c r="A3" t="s">
        <v>75</v>
      </c>
      <c r="C3" t="s">
        <v>76</v>
      </c>
      <c r="E3" s="5" t="s">
        <v>73</v>
      </c>
      <c r="G3" t="s">
        <v>58</v>
      </c>
      <c r="I3" s="5" t="s">
        <v>72</v>
      </c>
    </row>
    <row r="4" spans="1:9" x14ac:dyDescent="0.3">
      <c r="A4" s="7">
        <v>38514739.899999984</v>
      </c>
      <c r="C4" s="7">
        <v>10493338.419999998</v>
      </c>
      <c r="E4" s="7">
        <f>(GETPIVOTDATA("Profit",$C$3)/GETPIVOTDATA("Revenue",$A$3))*100</f>
        <v>27.244993597892641</v>
      </c>
      <c r="G4" s="8">
        <v>247799</v>
      </c>
      <c r="I4" s="7">
        <f>GETPIVOTDATA("Revenue",$A$3)/GETPIVOTDATA("Quantity",$G$3)</f>
        <v>155.4273419182482</v>
      </c>
    </row>
    <row r="7" spans="1:9" x14ac:dyDescent="0.3">
      <c r="A7" s="1" t="s">
        <v>4</v>
      </c>
      <c r="B7" t="s">
        <v>56</v>
      </c>
      <c r="D7" s="1" t="s">
        <v>1</v>
      </c>
      <c r="E7" t="s">
        <v>56</v>
      </c>
      <c r="G7" s="1" t="s">
        <v>0</v>
      </c>
      <c r="H7" t="s">
        <v>56</v>
      </c>
    </row>
    <row r="8" spans="1:9" x14ac:dyDescent="0.3">
      <c r="A8" s="4" t="s">
        <v>44</v>
      </c>
      <c r="B8" s="7">
        <v>2263957.5899999994</v>
      </c>
      <c r="D8" s="4" t="s">
        <v>14</v>
      </c>
      <c r="E8" s="8">
        <v>9331535.7299999967</v>
      </c>
      <c r="G8" s="4" t="s">
        <v>77</v>
      </c>
      <c r="H8" s="7">
        <v>13600009.610000001</v>
      </c>
    </row>
    <row r="9" spans="1:9" x14ac:dyDescent="0.3">
      <c r="A9" s="4" t="s">
        <v>40</v>
      </c>
      <c r="B9" s="7">
        <v>2813430.0199999996</v>
      </c>
      <c r="D9" s="4" t="s">
        <v>13</v>
      </c>
      <c r="E9" s="8">
        <v>8623007.410000002</v>
      </c>
      <c r="G9" s="4" t="s">
        <v>78</v>
      </c>
      <c r="H9" s="7">
        <v>15036339.010000002</v>
      </c>
    </row>
    <row r="10" spans="1:9" x14ac:dyDescent="0.3">
      <c r="A10" s="4" t="s">
        <v>39</v>
      </c>
      <c r="B10" s="7">
        <v>2660978.290000001</v>
      </c>
      <c r="D10" s="4" t="s">
        <v>15</v>
      </c>
      <c r="E10" s="8">
        <v>9530184.549999997</v>
      </c>
      <c r="G10" s="4" t="s">
        <v>79</v>
      </c>
      <c r="H10" s="7">
        <v>9878391.2799999975</v>
      </c>
    </row>
    <row r="11" spans="1:9" x14ac:dyDescent="0.3">
      <c r="A11" s="4" t="s">
        <v>37</v>
      </c>
      <c r="B11" s="7">
        <v>3608868.8299999987</v>
      </c>
      <c r="D11" s="4" t="s">
        <v>16</v>
      </c>
      <c r="E11" s="8">
        <v>11030012.209999997</v>
      </c>
      <c r="G11" s="4" t="s">
        <v>59</v>
      </c>
      <c r="H11" s="7">
        <v>38514739.900000006</v>
      </c>
    </row>
    <row r="12" spans="1:9" x14ac:dyDescent="0.3">
      <c r="A12" s="4" t="s">
        <v>46</v>
      </c>
      <c r="B12" s="7">
        <v>2741182.3800000008</v>
      </c>
      <c r="D12" s="4" t="s">
        <v>59</v>
      </c>
      <c r="E12" s="8">
        <v>38514739.899999991</v>
      </c>
    </row>
    <row r="13" spans="1:9" x14ac:dyDescent="0.3">
      <c r="A13" s="4" t="s">
        <v>45</v>
      </c>
      <c r="B13" s="7">
        <v>3631999.7600000002</v>
      </c>
    </row>
    <row r="14" spans="1:9" x14ac:dyDescent="0.3">
      <c r="A14" s="4" t="s">
        <v>42</v>
      </c>
      <c r="B14" s="7">
        <v>2640135.27</v>
      </c>
    </row>
    <row r="15" spans="1:9" x14ac:dyDescent="0.3">
      <c r="A15" s="4" t="s">
        <v>43</v>
      </c>
      <c r="B15" s="7">
        <v>4022916.1899999981</v>
      </c>
      <c r="D15" s="1" t="s">
        <v>3</v>
      </c>
      <c r="E15" t="s">
        <v>57</v>
      </c>
      <c r="G15" s="1" t="s">
        <v>12</v>
      </c>
      <c r="H15" t="s">
        <v>57</v>
      </c>
      <c r="I15" t="s">
        <v>56</v>
      </c>
    </row>
    <row r="16" spans="1:9" x14ac:dyDescent="0.3">
      <c r="A16" s="4" t="s">
        <v>36</v>
      </c>
      <c r="B16" s="7">
        <v>3887082.9400000004</v>
      </c>
      <c r="D16" s="4" t="s">
        <v>35</v>
      </c>
      <c r="E16" s="8">
        <v>5464707.1700000037</v>
      </c>
      <c r="G16" s="4" t="s">
        <v>60</v>
      </c>
      <c r="H16" s="7">
        <v>1018577.54</v>
      </c>
      <c r="I16" s="7">
        <v>3878620.790000001</v>
      </c>
    </row>
    <row r="17" spans="1:9" x14ac:dyDescent="0.3">
      <c r="A17" s="4" t="s">
        <v>47</v>
      </c>
      <c r="B17" s="7">
        <v>3252067.8800000004</v>
      </c>
      <c r="D17" s="4" t="s">
        <v>34</v>
      </c>
      <c r="E17" s="8">
        <v>5028631.2500000009</v>
      </c>
      <c r="G17" s="4" t="s">
        <v>61</v>
      </c>
      <c r="H17" s="7">
        <v>1059771.68</v>
      </c>
      <c r="I17" s="7">
        <v>3912751.8399999994</v>
      </c>
    </row>
    <row r="18" spans="1:9" x14ac:dyDescent="0.3">
      <c r="A18" s="4" t="s">
        <v>38</v>
      </c>
      <c r="B18" s="7">
        <v>3406941.4699999997</v>
      </c>
      <c r="D18" s="4" t="s">
        <v>59</v>
      </c>
      <c r="E18" s="8">
        <v>10493338.420000006</v>
      </c>
      <c r="G18" s="4" t="s">
        <v>62</v>
      </c>
      <c r="H18" s="7">
        <v>892464.35000000009</v>
      </c>
      <c r="I18" s="7">
        <v>3197365.8</v>
      </c>
    </row>
    <row r="19" spans="1:9" x14ac:dyDescent="0.3">
      <c r="A19" s="4" t="s">
        <v>41</v>
      </c>
      <c r="B19" s="7">
        <v>3585179.2800000007</v>
      </c>
      <c r="G19" s="4" t="s">
        <v>63</v>
      </c>
      <c r="H19" s="7">
        <v>1034453.2700000004</v>
      </c>
      <c r="I19" s="7">
        <v>3821005.2600000007</v>
      </c>
    </row>
    <row r="20" spans="1:9" x14ac:dyDescent="0.3">
      <c r="A20" s="4" t="s">
        <v>59</v>
      </c>
      <c r="B20" s="7">
        <v>38514739.899999999</v>
      </c>
      <c r="G20" s="4" t="s">
        <v>64</v>
      </c>
      <c r="H20" s="7">
        <v>1123363.1999999997</v>
      </c>
      <c r="I20" s="7">
        <v>4128062.4000000004</v>
      </c>
    </row>
    <row r="21" spans="1:9" x14ac:dyDescent="0.3">
      <c r="D21" s="1" t="s">
        <v>74</v>
      </c>
      <c r="E21" t="s">
        <v>56</v>
      </c>
      <c r="G21" s="4" t="s">
        <v>65</v>
      </c>
      <c r="H21" s="7">
        <v>735091.61999999976</v>
      </c>
      <c r="I21" s="7">
        <v>2673135.08</v>
      </c>
    </row>
    <row r="22" spans="1:9" x14ac:dyDescent="0.3">
      <c r="A22" s="1" t="s">
        <v>2</v>
      </c>
      <c r="B22" t="s">
        <v>56</v>
      </c>
      <c r="D22" s="4" t="s">
        <v>53</v>
      </c>
      <c r="E22" s="8">
        <v>11586642.659999998</v>
      </c>
      <c r="G22" s="4" t="s">
        <v>66</v>
      </c>
      <c r="H22" s="7">
        <v>927516.64</v>
      </c>
      <c r="I22" s="7">
        <v>3493000.54</v>
      </c>
    </row>
    <row r="23" spans="1:9" x14ac:dyDescent="0.3">
      <c r="A23" s="4" t="s">
        <v>33</v>
      </c>
      <c r="B23" s="7">
        <v>1663903.68</v>
      </c>
      <c r="D23" s="4" t="s">
        <v>54</v>
      </c>
      <c r="E23" s="8">
        <v>12680610.130000008</v>
      </c>
      <c r="G23" s="4" t="s">
        <v>67</v>
      </c>
      <c r="H23" s="7">
        <v>948725.01</v>
      </c>
      <c r="I23" s="7">
        <v>3388736.1999999997</v>
      </c>
    </row>
    <row r="24" spans="1:9" x14ac:dyDescent="0.3">
      <c r="A24" s="4" t="s">
        <v>18</v>
      </c>
      <c r="B24" s="7">
        <v>2542867.9300000011</v>
      </c>
      <c r="D24" s="4" t="s">
        <v>55</v>
      </c>
      <c r="E24" s="8">
        <v>14247487.109999992</v>
      </c>
      <c r="G24" s="4" t="s">
        <v>68</v>
      </c>
      <c r="H24" s="7">
        <v>837109.02000000014</v>
      </c>
      <c r="I24" s="7">
        <v>3007575.4899999988</v>
      </c>
    </row>
    <row r="25" spans="1:9" x14ac:dyDescent="0.3">
      <c r="A25" s="4" t="s">
        <v>23</v>
      </c>
      <c r="B25" s="7">
        <v>2326621.1999999993</v>
      </c>
      <c r="D25" s="4" t="s">
        <v>59</v>
      </c>
      <c r="E25" s="8">
        <v>38514739.899999999</v>
      </c>
      <c r="G25" s="4" t="s">
        <v>69</v>
      </c>
      <c r="H25" s="7">
        <v>710194.15</v>
      </c>
      <c r="I25" s="7">
        <v>2411029.9499999993</v>
      </c>
    </row>
    <row r="26" spans="1:9" x14ac:dyDescent="0.3">
      <c r="A26" s="4" t="s">
        <v>17</v>
      </c>
      <c r="B26" s="7">
        <v>2644489.31</v>
      </c>
      <c r="G26" s="4" t="s">
        <v>70</v>
      </c>
      <c r="H26" s="7">
        <v>618099.65</v>
      </c>
      <c r="I26" s="7">
        <v>2344861.9999999991</v>
      </c>
    </row>
    <row r="27" spans="1:9" x14ac:dyDescent="0.3">
      <c r="A27" s="4" t="s">
        <v>22</v>
      </c>
      <c r="B27" s="7">
        <v>3301194.8199999994</v>
      </c>
      <c r="G27" s="4" t="s">
        <v>71</v>
      </c>
      <c r="H27" s="7">
        <v>587972.28999999969</v>
      </c>
      <c r="I27" s="7">
        <v>2258594.5500000003</v>
      </c>
    </row>
    <row r="28" spans="1:9" x14ac:dyDescent="0.3">
      <c r="A28" s="4" t="s">
        <v>28</v>
      </c>
      <c r="B28" s="7">
        <v>2414934.81</v>
      </c>
      <c r="G28" s="4" t="s">
        <v>59</v>
      </c>
      <c r="H28" s="7">
        <v>10493338.42</v>
      </c>
      <c r="I28" s="7">
        <v>38514739.899999991</v>
      </c>
    </row>
    <row r="29" spans="1:9" x14ac:dyDescent="0.3">
      <c r="A29" s="4" t="s">
        <v>26</v>
      </c>
      <c r="B29" s="7">
        <v>2002524.07</v>
      </c>
    </row>
    <row r="30" spans="1:9" x14ac:dyDescent="0.3">
      <c r="A30" s="4" t="s">
        <v>20</v>
      </c>
      <c r="B30" s="7">
        <v>1739051.9300000004</v>
      </c>
      <c r="D30" s="6" t="s">
        <v>75</v>
      </c>
      <c r="E30" s="6" t="s">
        <v>76</v>
      </c>
      <c r="F30" s="5" t="s">
        <v>72</v>
      </c>
      <c r="G30" s="6" t="s">
        <v>58</v>
      </c>
      <c r="H30" s="5" t="s">
        <v>73</v>
      </c>
    </row>
    <row r="31" spans="1:9" x14ac:dyDescent="0.3">
      <c r="A31" s="4" t="s">
        <v>31</v>
      </c>
      <c r="B31" s="7">
        <v>2184737.7499999995</v>
      </c>
      <c r="D31" s="7">
        <f>GETPIVOTDATA("Revenue",$A$3)</f>
        <v>38514739.899999984</v>
      </c>
      <c r="E31" s="7">
        <f>GETPIVOTDATA("Profit",$C$3)</f>
        <v>10493338.419999998</v>
      </c>
      <c r="F31" s="7" cm="1">
        <f t="array" ref="F31">Table4[Average Selling Price]</f>
        <v>155.4273419182482</v>
      </c>
      <c r="G31">
        <f>GETPIVOTDATA("Quantity",$G$3)</f>
        <v>247799</v>
      </c>
      <c r="H31" s="7">
        <f>(GETPIVOTDATA("Profit",$C$3)/GETPIVOTDATA("Revenue",$A$3))*100</f>
        <v>27.244993597892641</v>
      </c>
    </row>
    <row r="32" spans="1:9" x14ac:dyDescent="0.3">
      <c r="A32" s="4" t="s">
        <v>24</v>
      </c>
      <c r="B32" s="7">
        <v>2620663.7600000012</v>
      </c>
    </row>
    <row r="33" spans="1:5" x14ac:dyDescent="0.3">
      <c r="A33" s="4" t="s">
        <v>32</v>
      </c>
      <c r="B33" s="7">
        <v>2567952.0899999994</v>
      </c>
      <c r="D33" s="1" t="s">
        <v>0</v>
      </c>
      <c r="E33" t="s">
        <v>56</v>
      </c>
    </row>
    <row r="34" spans="1:5" x14ac:dyDescent="0.3">
      <c r="A34" s="4" t="s">
        <v>30</v>
      </c>
      <c r="B34" s="7">
        <v>2138781.92</v>
      </c>
      <c r="D34" s="4" t="s">
        <v>51</v>
      </c>
      <c r="E34" s="7">
        <v>7509419.1700000009</v>
      </c>
    </row>
    <row r="35" spans="1:5" x14ac:dyDescent="0.3">
      <c r="A35" s="4" t="s">
        <v>25</v>
      </c>
      <c r="B35" s="7">
        <v>2693218.8199999994</v>
      </c>
      <c r="D35" s="4" t="s">
        <v>52</v>
      </c>
      <c r="E35" s="7">
        <v>8315153.7899999972</v>
      </c>
    </row>
    <row r="36" spans="1:5" x14ac:dyDescent="0.3">
      <c r="A36" s="4" t="s">
        <v>21</v>
      </c>
      <c r="B36" s="7">
        <v>2403822.7400000002</v>
      </c>
      <c r="D36" s="4" t="s">
        <v>50</v>
      </c>
      <c r="E36" s="7">
        <v>6438918.0799999991</v>
      </c>
    </row>
    <row r="37" spans="1:5" x14ac:dyDescent="0.3">
      <c r="A37" s="4" t="s">
        <v>29</v>
      </c>
      <c r="B37" s="7">
        <v>1538668.4500000002</v>
      </c>
      <c r="D37" s="4" t="s">
        <v>49</v>
      </c>
      <c r="E37" s="7">
        <v>8180939.5600000005</v>
      </c>
    </row>
    <row r="38" spans="1:5" x14ac:dyDescent="0.3">
      <c r="A38" s="4" t="s">
        <v>27</v>
      </c>
      <c r="B38" s="7">
        <v>1837212.1099999999</v>
      </c>
      <c r="D38" s="4" t="s">
        <v>48</v>
      </c>
      <c r="E38" s="7">
        <v>8070309.2999999998</v>
      </c>
    </row>
    <row r="39" spans="1:5" x14ac:dyDescent="0.3">
      <c r="A39" s="4" t="s">
        <v>19</v>
      </c>
      <c r="B39" s="7">
        <v>1894094.5099999993</v>
      </c>
      <c r="D39" s="4" t="s">
        <v>59</v>
      </c>
      <c r="E39" s="8">
        <v>38514739.899999991</v>
      </c>
    </row>
    <row r="40" spans="1:5" x14ac:dyDescent="0.3">
      <c r="A40" s="4" t="s">
        <v>59</v>
      </c>
      <c r="B40" s="7">
        <v>38514739.900000006</v>
      </c>
    </row>
  </sheetData>
  <pageMargins left="0.7" right="0.7" top="0.75" bottom="0.75" header="0.3" footer="0.3"/>
  <drawing r:id="rId12"/>
  <tableParts count="1">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28EB3-C2E8-41D9-917D-BECB38927EDB}">
  <dimension ref="A1"/>
  <sheetViews>
    <sheetView tabSelected="1" topLeftCell="A3" zoomScale="65" workbookViewId="0">
      <selection activeCell="Y21" sqref="Y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Mounika Penugonda</dc:creator>
  <cp:lastModifiedBy>Mounika Penugonda</cp:lastModifiedBy>
  <dcterms:created xsi:type="dcterms:W3CDTF">2025-10-28T04:02:11Z</dcterms:created>
  <dcterms:modified xsi:type="dcterms:W3CDTF">2025-11-05T12:03:14Z</dcterms:modified>
</cp:coreProperties>
</file>